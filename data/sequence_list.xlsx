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E0BE01F-AA17-469E-A946-80A756AE3990}" xr6:coauthVersionLast="47" xr6:coauthVersionMax="47" xr10:uidLastSave="{00000000-0000-0000-0000-000000000000}"/>
  <bookViews>
    <workbookView xWindow="2535" yWindow="5618" windowWidth="17550" windowHeight="8122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</calcChain>
</file>

<file path=xl/sharedStrings.xml><?xml version="1.0" encoding="utf-8"?>
<sst xmlns="http://schemas.openxmlformats.org/spreadsheetml/2006/main" count="510" uniqueCount="24">
  <si>
    <t>No. of obs</t>
  </si>
  <si>
    <t>Publication</t>
  </si>
  <si>
    <t>control_group</t>
  </si>
  <si>
    <t>sowdur</t>
  </si>
  <si>
    <t>Daily fluxes</t>
  </si>
  <si>
    <t>crop_class</t>
  </si>
  <si>
    <t>fertilization_class</t>
  </si>
  <si>
    <t>Split N amount</t>
  </si>
  <si>
    <t>ferdur</t>
  </si>
  <si>
    <t>Temp</t>
  </si>
  <si>
    <t>Prec</t>
  </si>
  <si>
    <t>ST</t>
  </si>
  <si>
    <t>WFPS</t>
  </si>
  <si>
    <t>1st fert</t>
    <phoneticPr fontId="1" type="noConversion"/>
  </si>
  <si>
    <t>2nd fert</t>
    <phoneticPr fontId="1" type="noConversion"/>
  </si>
  <si>
    <t>sowing</t>
    <phoneticPr fontId="1" type="noConversion"/>
  </si>
  <si>
    <t>harvesting</t>
    <phoneticPr fontId="1" type="noConversion"/>
  </si>
  <si>
    <t>date</t>
    <phoneticPr fontId="1" type="noConversion"/>
  </si>
  <si>
    <t>predicted</t>
    <phoneticPr fontId="1" type="noConversion"/>
  </si>
  <si>
    <t>pred_RF</t>
    <phoneticPr fontId="1" type="noConversion"/>
  </si>
  <si>
    <t>sd1</t>
    <phoneticPr fontId="1" type="noConversion"/>
  </si>
  <si>
    <t>sd2</t>
    <phoneticPr fontId="1" type="noConversion"/>
  </si>
  <si>
    <t>wheat</t>
  </si>
  <si>
    <t>NPK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</si>
</sst>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5"/>
  <sheetViews>
    <sheetView tabSelected="1" workbookViewId="0">
      <selection activeCell="R2" sqref="R2:R245"/>
    </sheetView>
  </sheetViews>
  <sheetFormatPr defaultRowHeight="13.9" x14ac:dyDescent="0.4"/>
  <cols>
    <col min="1" max="6" width="9.06640625" style="5"/>
    <col min="7" max="7" width="8.265625" style="5" customWidth="1"/>
    <col min="8" max="13" width="9.06640625" style="5"/>
    <col min="14" max="14" width="9.53125" style="5" bestFit="1" customWidth="1"/>
    <col min="15" max="15" width="14.19921875" style="6" customWidth="1"/>
    <col min="16" max="16" width="9.06640625" style="5"/>
    <col min="17" max="17" width="9.53125" style="5" bestFit="1" customWidth="1"/>
    <col min="18" max="16384" width="9.06640625" style="5"/>
  </cols>
  <sheetData>
    <row r="1" spans="1:18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17</v>
      </c>
      <c r="O1" s="3" t="s">
        <v>18</v>
      </c>
      <c r="P1" s="5" t="s">
        <v>19</v>
      </c>
      <c r="Q1" s="5" t="s">
        <v>20</v>
      </c>
      <c r="R1" s="5" t="s">
        <v>21</v>
      </c>
    </row>
    <row r="2" spans="1:18" x14ac:dyDescent="0.4">
      <c r="A2" s="7">
        <v>50442</v>
      </c>
      <c r="B2" s="7">
        <v>219</v>
      </c>
      <c r="C2" s="7">
        <v>5</v>
      </c>
      <c r="D2" s="7">
        <v>2.5</v>
      </c>
      <c r="E2" s="7">
        <v>0.86</v>
      </c>
      <c r="F2" s="7" t="s">
        <v>22</v>
      </c>
      <c r="G2" s="7" t="s">
        <v>23</v>
      </c>
      <c r="H2" s="7">
        <v>0</v>
      </c>
      <c r="I2" s="7">
        <v>-1</v>
      </c>
      <c r="J2" s="7">
        <v>10.1</v>
      </c>
      <c r="K2" s="7">
        <v>0</v>
      </c>
      <c r="L2" s="7">
        <v>11.6</v>
      </c>
      <c r="M2" s="7">
        <v>46</v>
      </c>
      <c r="N2" s="2">
        <v>42299</v>
      </c>
      <c r="O2" s="3">
        <v>2.9014110799999999</v>
      </c>
      <c r="P2" s="5">
        <v>4.1757584766117803</v>
      </c>
      <c r="Q2" s="5">
        <v>0.95930925947426704</v>
      </c>
      <c r="R2" s="5">
        <v>2.1750352898274201</v>
      </c>
    </row>
    <row r="3" spans="1:18" x14ac:dyDescent="0.4">
      <c r="A3" s="7">
        <v>50443</v>
      </c>
      <c r="B3" s="7">
        <v>219</v>
      </c>
      <c r="C3" s="7">
        <v>5</v>
      </c>
      <c r="D3" s="7">
        <v>3.5</v>
      </c>
      <c r="E3" s="7">
        <v>1.1200000000000001</v>
      </c>
      <c r="F3" s="7" t="s">
        <v>22</v>
      </c>
      <c r="G3" s="7" t="s">
        <v>23</v>
      </c>
      <c r="H3" s="7">
        <v>0</v>
      </c>
      <c r="I3" s="7">
        <v>-1</v>
      </c>
      <c r="J3" s="7">
        <v>13.1</v>
      </c>
      <c r="K3" s="7">
        <v>0</v>
      </c>
      <c r="L3" s="7">
        <v>13.3</v>
      </c>
      <c r="M3" s="7">
        <v>46</v>
      </c>
      <c r="N3" s="2">
        <f>N2+D3-D2</f>
        <v>42300</v>
      </c>
      <c r="O3" s="3">
        <v>3.4831164999999999</v>
      </c>
      <c r="P3" s="5">
        <v>4.0015273458821001</v>
      </c>
      <c r="Q3" s="5">
        <v>2.0921941766777001</v>
      </c>
      <c r="R3" s="5">
        <v>1.82648192458348</v>
      </c>
    </row>
    <row r="4" spans="1:18" x14ac:dyDescent="0.4">
      <c r="A4" s="7">
        <v>50444</v>
      </c>
      <c r="B4" s="7">
        <v>219</v>
      </c>
      <c r="C4" s="7">
        <v>5</v>
      </c>
      <c r="D4" s="7">
        <v>4.5</v>
      </c>
      <c r="E4" s="7">
        <v>1.2</v>
      </c>
      <c r="F4" s="7" t="s">
        <v>22</v>
      </c>
      <c r="G4" s="7" t="s">
        <v>23</v>
      </c>
      <c r="H4" s="7">
        <v>0</v>
      </c>
      <c r="I4" s="7">
        <v>-1</v>
      </c>
      <c r="J4" s="7">
        <v>12</v>
      </c>
      <c r="K4" s="7">
        <v>0</v>
      </c>
      <c r="L4" s="7">
        <v>11.8</v>
      </c>
      <c r="M4" s="7">
        <v>45</v>
      </c>
      <c r="N4" s="2">
        <f t="shared" ref="N4:N67" si="0">N3+D4-D3</f>
        <v>42301</v>
      </c>
      <c r="O4" s="3">
        <v>3.5070703600000002</v>
      </c>
      <c r="P4" s="5">
        <v>4.4806631907338996</v>
      </c>
      <c r="Q4" s="5">
        <v>2.4616561308692102</v>
      </c>
      <c r="R4" s="5">
        <v>2.14817990872834</v>
      </c>
    </row>
    <row r="5" spans="1:18" x14ac:dyDescent="0.4">
      <c r="A5" s="7">
        <v>50445</v>
      </c>
      <c r="B5" s="7">
        <v>219</v>
      </c>
      <c r="C5" s="7">
        <v>5</v>
      </c>
      <c r="D5" s="7">
        <v>5.5</v>
      </c>
      <c r="E5" s="7">
        <v>2.02</v>
      </c>
      <c r="F5" s="7" t="s">
        <v>22</v>
      </c>
      <c r="G5" s="7" t="s">
        <v>23</v>
      </c>
      <c r="H5" s="7">
        <v>0</v>
      </c>
      <c r="I5" s="7">
        <v>-1</v>
      </c>
      <c r="J5" s="7">
        <v>12.5</v>
      </c>
      <c r="K5" s="7">
        <v>0</v>
      </c>
      <c r="L5" s="7">
        <v>13.4</v>
      </c>
      <c r="M5" s="7">
        <v>44</v>
      </c>
      <c r="N5" s="2">
        <f t="shared" si="0"/>
        <v>42302</v>
      </c>
      <c r="O5" s="3">
        <v>3.0325213199999999</v>
      </c>
      <c r="P5" s="5">
        <v>4.2475150692878598</v>
      </c>
      <c r="Q5" s="5">
        <v>2.0874294875802502</v>
      </c>
      <c r="R5" s="5">
        <v>1.4533311826619599</v>
      </c>
    </row>
    <row r="6" spans="1:18" x14ac:dyDescent="0.4">
      <c r="A6" s="7">
        <v>50446</v>
      </c>
      <c r="B6" s="7">
        <v>219</v>
      </c>
      <c r="C6" s="7">
        <v>5</v>
      </c>
      <c r="D6" s="7">
        <v>6.5</v>
      </c>
      <c r="E6" s="7">
        <v>1.72</v>
      </c>
      <c r="F6" s="7" t="s">
        <v>22</v>
      </c>
      <c r="G6" s="7" t="s">
        <v>23</v>
      </c>
      <c r="H6" s="7">
        <v>0</v>
      </c>
      <c r="I6" s="7">
        <v>-1</v>
      </c>
      <c r="J6" s="7">
        <v>13</v>
      </c>
      <c r="K6" s="7">
        <v>0</v>
      </c>
      <c r="L6" s="7">
        <v>13.3</v>
      </c>
      <c r="M6" s="7">
        <v>43</v>
      </c>
      <c r="N6" s="2">
        <f t="shared" si="0"/>
        <v>42303</v>
      </c>
      <c r="O6" s="3">
        <v>2.47098964</v>
      </c>
      <c r="P6" s="5">
        <v>4.1285188553534997</v>
      </c>
      <c r="Q6" s="5">
        <v>1.4481087762584</v>
      </c>
      <c r="R6" s="5">
        <v>1.86435580549333</v>
      </c>
    </row>
    <row r="7" spans="1:18" x14ac:dyDescent="0.4">
      <c r="A7" s="7">
        <v>50447</v>
      </c>
      <c r="B7" s="7">
        <v>219</v>
      </c>
      <c r="C7" s="7">
        <v>5</v>
      </c>
      <c r="D7" s="7">
        <v>7.5</v>
      </c>
      <c r="E7" s="7">
        <v>1.26</v>
      </c>
      <c r="F7" s="7" t="s">
        <v>22</v>
      </c>
      <c r="G7" s="7" t="s">
        <v>23</v>
      </c>
      <c r="H7" s="7">
        <v>0</v>
      </c>
      <c r="I7" s="7">
        <v>-1</v>
      </c>
      <c r="J7" s="7">
        <v>15.2</v>
      </c>
      <c r="K7" s="7">
        <v>0</v>
      </c>
      <c r="L7" s="7">
        <v>15.8</v>
      </c>
      <c r="M7" s="7">
        <v>42</v>
      </c>
      <c r="N7" s="2">
        <f t="shared" si="0"/>
        <v>42304</v>
      </c>
      <c r="O7" s="3">
        <v>2.0336163599999999</v>
      </c>
      <c r="P7" s="5">
        <v>3.5767453447447002</v>
      </c>
      <c r="Q7" s="5">
        <v>0.92942549161810895</v>
      </c>
      <c r="R7" s="5">
        <v>2.7879106658716499</v>
      </c>
    </row>
    <row r="8" spans="1:18" x14ac:dyDescent="0.4">
      <c r="A8" s="7">
        <v>50448</v>
      </c>
      <c r="B8" s="7">
        <v>219</v>
      </c>
      <c r="C8" s="7">
        <v>5</v>
      </c>
      <c r="D8" s="7">
        <v>8.5</v>
      </c>
      <c r="E8" s="7">
        <v>1.59</v>
      </c>
      <c r="F8" s="7" t="s">
        <v>22</v>
      </c>
      <c r="G8" s="7" t="s">
        <v>23</v>
      </c>
      <c r="H8" s="7">
        <v>0</v>
      </c>
      <c r="I8" s="7">
        <v>-1</v>
      </c>
      <c r="J8" s="7">
        <v>13.7</v>
      </c>
      <c r="K8" s="7">
        <v>0</v>
      </c>
      <c r="L8" s="7">
        <v>15.9</v>
      </c>
      <c r="M8" s="7">
        <v>60</v>
      </c>
      <c r="N8" s="2">
        <f t="shared" si="0"/>
        <v>42305</v>
      </c>
      <c r="O8" s="3">
        <v>1.9944276599999999</v>
      </c>
      <c r="P8" s="5">
        <v>3.1465394122966801</v>
      </c>
      <c r="Q8" s="5">
        <v>0.81614120299223802</v>
      </c>
      <c r="R8" s="5">
        <v>2.0969993225863401</v>
      </c>
    </row>
    <row r="9" spans="1:18" x14ac:dyDescent="0.4">
      <c r="A9" s="7">
        <v>50449</v>
      </c>
      <c r="B9" s="7">
        <v>219</v>
      </c>
      <c r="C9" s="7">
        <v>5</v>
      </c>
      <c r="D9" s="7">
        <v>9.5</v>
      </c>
      <c r="E9" s="7">
        <v>1.1200000000000001</v>
      </c>
      <c r="F9" s="7" t="s">
        <v>22</v>
      </c>
      <c r="G9" s="7" t="s">
        <v>23</v>
      </c>
      <c r="H9" s="7">
        <v>0</v>
      </c>
      <c r="I9" s="7">
        <v>-1</v>
      </c>
      <c r="J9" s="7">
        <v>8.1999999999999993</v>
      </c>
      <c r="K9" s="7">
        <v>2.4</v>
      </c>
      <c r="L9" s="7">
        <v>11</v>
      </c>
      <c r="M9" s="7">
        <v>56</v>
      </c>
      <c r="N9" s="2">
        <f t="shared" si="0"/>
        <v>42306</v>
      </c>
      <c r="O9" s="3">
        <v>1.8926709799999999</v>
      </c>
      <c r="P9" s="5">
        <v>6.2142756234114698</v>
      </c>
      <c r="Q9" s="5">
        <v>0.584163522832021</v>
      </c>
      <c r="R9" s="5">
        <v>1.8360507640205801</v>
      </c>
    </row>
    <row r="10" spans="1:18" x14ac:dyDescent="0.4">
      <c r="A10" s="7">
        <v>50450</v>
      </c>
      <c r="B10" s="7">
        <v>219</v>
      </c>
      <c r="C10" s="7">
        <v>5</v>
      </c>
      <c r="D10" s="7">
        <v>10.5</v>
      </c>
      <c r="E10" s="7">
        <v>1.25</v>
      </c>
      <c r="F10" s="7" t="s">
        <v>22</v>
      </c>
      <c r="G10" s="7" t="s">
        <v>23</v>
      </c>
      <c r="H10" s="7">
        <v>0</v>
      </c>
      <c r="I10" s="7">
        <v>-1</v>
      </c>
      <c r="J10" s="7">
        <v>9.9</v>
      </c>
      <c r="K10" s="7">
        <v>0</v>
      </c>
      <c r="L10" s="7">
        <v>11.5</v>
      </c>
      <c r="M10" s="7">
        <v>53</v>
      </c>
      <c r="N10" s="2">
        <f t="shared" si="0"/>
        <v>42307</v>
      </c>
      <c r="O10" s="3">
        <v>1.7277809200000001</v>
      </c>
      <c r="P10" s="5">
        <v>5.0762167837502901</v>
      </c>
      <c r="Q10" s="5">
        <v>0.36148722868246902</v>
      </c>
      <c r="R10" s="5">
        <v>1.6986851652644701</v>
      </c>
    </row>
    <row r="11" spans="1:18" x14ac:dyDescent="0.4">
      <c r="A11" s="7">
        <v>50451</v>
      </c>
      <c r="B11" s="7">
        <v>219</v>
      </c>
      <c r="C11" s="7">
        <v>5</v>
      </c>
      <c r="D11" s="7">
        <v>11.5</v>
      </c>
      <c r="E11" s="7">
        <v>1.98</v>
      </c>
      <c r="F11" s="7" t="s">
        <v>22</v>
      </c>
      <c r="G11" s="7" t="s">
        <v>23</v>
      </c>
      <c r="H11" s="7">
        <v>0</v>
      </c>
      <c r="I11" s="7">
        <v>-1</v>
      </c>
      <c r="J11" s="7">
        <v>12.9</v>
      </c>
      <c r="K11" s="7">
        <v>0</v>
      </c>
      <c r="L11" s="7">
        <v>13.5</v>
      </c>
      <c r="M11" s="7">
        <v>50</v>
      </c>
      <c r="N11" s="2">
        <f t="shared" si="0"/>
        <v>42308</v>
      </c>
      <c r="O11" s="3">
        <v>1.60373096</v>
      </c>
      <c r="P11" s="5">
        <v>3.5662143110181601</v>
      </c>
      <c r="Q11" s="5">
        <v>0.31557054196891199</v>
      </c>
      <c r="R11" s="5">
        <v>1.09948009645359</v>
      </c>
    </row>
    <row r="12" spans="1:18" x14ac:dyDescent="0.4">
      <c r="A12" s="7">
        <v>50452</v>
      </c>
      <c r="B12" s="7">
        <v>219</v>
      </c>
      <c r="C12" s="7">
        <v>5</v>
      </c>
      <c r="D12" s="7">
        <v>12.5</v>
      </c>
      <c r="E12" s="7">
        <v>1.64</v>
      </c>
      <c r="F12" s="7" t="s">
        <v>22</v>
      </c>
      <c r="G12" s="7" t="s">
        <v>23</v>
      </c>
      <c r="H12" s="7">
        <v>0</v>
      </c>
      <c r="I12" s="7">
        <v>-1</v>
      </c>
      <c r="J12" s="7">
        <v>13.9</v>
      </c>
      <c r="K12" s="7">
        <v>0</v>
      </c>
      <c r="L12" s="7">
        <v>14.1</v>
      </c>
      <c r="M12" s="7">
        <v>47</v>
      </c>
      <c r="N12" s="2">
        <f t="shared" si="0"/>
        <v>42309</v>
      </c>
      <c r="O12" s="3">
        <v>1.51018126</v>
      </c>
      <c r="P12" s="5">
        <v>3.83987581722501</v>
      </c>
      <c r="Q12" s="5">
        <v>0.32900600492144999</v>
      </c>
      <c r="R12" s="5">
        <v>1.87650082641584</v>
      </c>
    </row>
    <row r="13" spans="1:18" x14ac:dyDescent="0.4">
      <c r="A13" s="7">
        <v>50453</v>
      </c>
      <c r="B13" s="7">
        <v>219</v>
      </c>
      <c r="C13" s="7">
        <v>5</v>
      </c>
      <c r="D13" s="7">
        <v>14.5</v>
      </c>
      <c r="E13" s="7">
        <v>1.48</v>
      </c>
      <c r="F13" s="7" t="s">
        <v>22</v>
      </c>
      <c r="G13" s="7" t="s">
        <v>23</v>
      </c>
      <c r="H13" s="7">
        <v>0</v>
      </c>
      <c r="I13" s="7">
        <v>-1</v>
      </c>
      <c r="J13" s="7">
        <v>15.4</v>
      </c>
      <c r="K13" s="7">
        <v>4</v>
      </c>
      <c r="L13" s="7">
        <v>15.7</v>
      </c>
      <c r="M13" s="7">
        <v>66</v>
      </c>
      <c r="N13" s="2">
        <f t="shared" si="0"/>
        <v>42311</v>
      </c>
      <c r="O13" s="3">
        <v>1.9147554200000001</v>
      </c>
      <c r="P13" s="5">
        <v>4.5550156528555403</v>
      </c>
      <c r="Q13" s="5">
        <v>0.42177788353592799</v>
      </c>
      <c r="R13" s="5">
        <v>2.3715658210448902</v>
      </c>
    </row>
    <row r="14" spans="1:18" x14ac:dyDescent="0.4">
      <c r="A14" s="7">
        <v>50454</v>
      </c>
      <c r="B14" s="7">
        <v>219</v>
      </c>
      <c r="C14" s="7">
        <v>5</v>
      </c>
      <c r="D14" s="7">
        <v>15.5</v>
      </c>
      <c r="E14" s="7">
        <v>3.23</v>
      </c>
      <c r="F14" s="7" t="s">
        <v>22</v>
      </c>
      <c r="G14" s="7" t="s">
        <v>23</v>
      </c>
      <c r="H14" s="7">
        <v>0</v>
      </c>
      <c r="I14" s="7">
        <v>-1</v>
      </c>
      <c r="J14" s="7">
        <v>12.4</v>
      </c>
      <c r="K14" s="7">
        <v>0</v>
      </c>
      <c r="L14" s="7">
        <v>14.1</v>
      </c>
      <c r="M14" s="7">
        <v>66</v>
      </c>
      <c r="N14" s="2">
        <f t="shared" si="0"/>
        <v>42312</v>
      </c>
      <c r="O14" s="3">
        <v>2.20552876</v>
      </c>
      <c r="P14" s="5">
        <v>6.4728743115031699</v>
      </c>
      <c r="Q14" s="5">
        <v>0.42068222560389101</v>
      </c>
      <c r="R14" s="5">
        <v>1.0907010908721</v>
      </c>
    </row>
    <row r="15" spans="1:18" x14ac:dyDescent="0.4">
      <c r="A15" s="7">
        <v>50455</v>
      </c>
      <c r="B15" s="7">
        <v>219</v>
      </c>
      <c r="C15" s="7">
        <v>5</v>
      </c>
      <c r="D15" s="7">
        <v>16.5</v>
      </c>
      <c r="E15" s="7">
        <v>2.41</v>
      </c>
      <c r="F15" s="7" t="s">
        <v>22</v>
      </c>
      <c r="G15" s="7" t="s">
        <v>23</v>
      </c>
      <c r="H15" s="7">
        <v>0</v>
      </c>
      <c r="I15" s="7">
        <v>-1</v>
      </c>
      <c r="J15" s="7">
        <v>11.9</v>
      </c>
      <c r="K15" s="7">
        <v>0</v>
      </c>
      <c r="L15" s="7">
        <v>13.2</v>
      </c>
      <c r="M15" s="7">
        <v>61</v>
      </c>
      <c r="N15" s="2">
        <f t="shared" si="0"/>
        <v>42313</v>
      </c>
      <c r="O15" s="3">
        <v>2.15144658</v>
      </c>
      <c r="P15" s="5">
        <v>5.3072417768999802</v>
      </c>
      <c r="Q15" s="5">
        <v>0.458926242147845</v>
      </c>
      <c r="R15" s="5">
        <v>1.1675173373569401</v>
      </c>
    </row>
    <row r="16" spans="1:18" x14ac:dyDescent="0.4">
      <c r="A16" s="7">
        <v>50456</v>
      </c>
      <c r="B16" s="7">
        <v>219</v>
      </c>
      <c r="C16" s="7">
        <v>5</v>
      </c>
      <c r="D16" s="7">
        <v>17.5</v>
      </c>
      <c r="E16" s="7">
        <v>2.4700000000000002</v>
      </c>
      <c r="F16" s="7" t="s">
        <v>22</v>
      </c>
      <c r="G16" s="7" t="s">
        <v>23</v>
      </c>
      <c r="H16" s="7">
        <v>0</v>
      </c>
      <c r="I16" s="7">
        <v>-1</v>
      </c>
      <c r="J16" s="7">
        <v>13</v>
      </c>
      <c r="K16" s="7">
        <v>0</v>
      </c>
      <c r="L16" s="7">
        <v>14.1</v>
      </c>
      <c r="M16" s="7">
        <v>58</v>
      </c>
      <c r="N16" s="2">
        <f t="shared" si="0"/>
        <v>42314</v>
      </c>
      <c r="O16" s="3">
        <v>2.0092824199999999</v>
      </c>
      <c r="P16" s="5">
        <v>4.50185909964092</v>
      </c>
      <c r="Q16" s="5">
        <v>0.42851723563874</v>
      </c>
      <c r="R16" s="5">
        <v>1.79386891422572</v>
      </c>
    </row>
    <row r="17" spans="1:18" x14ac:dyDescent="0.4">
      <c r="A17" s="7">
        <v>50457</v>
      </c>
      <c r="B17" s="7">
        <v>219</v>
      </c>
      <c r="C17" s="7">
        <v>5</v>
      </c>
      <c r="D17" s="7">
        <v>18.5</v>
      </c>
      <c r="E17" s="7">
        <v>1.52</v>
      </c>
      <c r="F17" s="7" t="s">
        <v>22</v>
      </c>
      <c r="G17" s="7" t="s">
        <v>23</v>
      </c>
      <c r="H17" s="7">
        <v>0</v>
      </c>
      <c r="I17" s="7">
        <v>-1</v>
      </c>
      <c r="J17" s="7">
        <v>13.1</v>
      </c>
      <c r="K17" s="7">
        <v>0</v>
      </c>
      <c r="L17" s="7">
        <v>14.5</v>
      </c>
      <c r="M17" s="7">
        <v>56</v>
      </c>
      <c r="N17" s="2">
        <f t="shared" si="0"/>
        <v>42315</v>
      </c>
      <c r="O17" s="3">
        <v>1.8758249600000001</v>
      </c>
      <c r="P17" s="5">
        <v>4.0417062711124103</v>
      </c>
      <c r="Q17" s="5">
        <v>0.38118959916483602</v>
      </c>
      <c r="R17" s="5">
        <v>2.0708504724261099</v>
      </c>
    </row>
    <row r="18" spans="1:18" x14ac:dyDescent="0.4">
      <c r="A18" s="7">
        <v>50458</v>
      </c>
      <c r="B18" s="7">
        <v>219</v>
      </c>
      <c r="C18" s="7">
        <v>5</v>
      </c>
      <c r="D18" s="7">
        <v>19.5</v>
      </c>
      <c r="E18" s="7">
        <v>1</v>
      </c>
      <c r="F18" s="7" t="s">
        <v>22</v>
      </c>
      <c r="G18" s="7" t="s">
        <v>23</v>
      </c>
      <c r="H18" s="7">
        <v>0</v>
      </c>
      <c r="I18" s="7">
        <v>-1</v>
      </c>
      <c r="J18" s="7">
        <v>13.2</v>
      </c>
      <c r="K18" s="7">
        <v>0</v>
      </c>
      <c r="L18" s="7">
        <v>13.5</v>
      </c>
      <c r="M18" s="7">
        <v>53</v>
      </c>
      <c r="N18" s="2">
        <f t="shared" si="0"/>
        <v>42316</v>
      </c>
      <c r="O18" s="3">
        <v>1.7480960800000001</v>
      </c>
      <c r="P18" s="5">
        <v>3.9199374578324901</v>
      </c>
      <c r="Q18" s="5">
        <v>0.32802594634251397</v>
      </c>
      <c r="R18" s="5">
        <v>1.25333445712444</v>
      </c>
    </row>
    <row r="19" spans="1:18" x14ac:dyDescent="0.4">
      <c r="A19" s="7">
        <v>50459</v>
      </c>
      <c r="B19" s="7">
        <v>219</v>
      </c>
      <c r="C19" s="7">
        <v>5</v>
      </c>
      <c r="D19" s="7">
        <v>20.5</v>
      </c>
      <c r="E19" s="7">
        <v>1.7</v>
      </c>
      <c r="F19" s="7" t="s">
        <v>22</v>
      </c>
      <c r="G19" s="7" t="s">
        <v>23</v>
      </c>
      <c r="H19" s="7">
        <v>0</v>
      </c>
      <c r="I19" s="7">
        <v>-1</v>
      </c>
      <c r="J19" s="7">
        <v>13.7</v>
      </c>
      <c r="K19" s="7">
        <v>0</v>
      </c>
      <c r="L19" s="7">
        <v>14.3</v>
      </c>
      <c r="M19" s="7">
        <v>52</v>
      </c>
      <c r="N19" s="2">
        <f t="shared" si="0"/>
        <v>42317</v>
      </c>
      <c r="O19" s="6">
        <v>1.6492541000000001</v>
      </c>
      <c r="P19" s="5">
        <v>3.4366227418388502</v>
      </c>
      <c r="Q19" s="5">
        <v>0.27970614780125103</v>
      </c>
      <c r="R19" s="5">
        <v>1.57578322716842</v>
      </c>
    </row>
    <row r="20" spans="1:18" x14ac:dyDescent="0.4">
      <c r="A20" s="7">
        <v>50460</v>
      </c>
      <c r="B20" s="7">
        <v>219</v>
      </c>
      <c r="C20" s="7">
        <v>5</v>
      </c>
      <c r="D20" s="7">
        <v>21.5</v>
      </c>
      <c r="E20" s="7">
        <v>1.21</v>
      </c>
      <c r="F20" s="7" t="s">
        <v>22</v>
      </c>
      <c r="G20" s="7" t="s">
        <v>23</v>
      </c>
      <c r="H20" s="7">
        <v>0</v>
      </c>
      <c r="I20" s="7">
        <v>-1</v>
      </c>
      <c r="J20" s="7">
        <v>13.8</v>
      </c>
      <c r="K20" s="7">
        <v>0</v>
      </c>
      <c r="L20" s="7">
        <v>15.1</v>
      </c>
      <c r="M20" s="7">
        <v>51</v>
      </c>
      <c r="N20" s="2">
        <f t="shared" si="0"/>
        <v>42318</v>
      </c>
      <c r="O20" s="6">
        <v>1.5748454199999999</v>
      </c>
      <c r="P20" s="5">
        <v>2.7449337911520302</v>
      </c>
      <c r="Q20" s="5">
        <v>0.24899777485570401</v>
      </c>
      <c r="R20" s="5">
        <v>1.7886073353165799</v>
      </c>
    </row>
    <row r="21" spans="1:18" x14ac:dyDescent="0.4">
      <c r="A21" s="7">
        <v>50461</v>
      </c>
      <c r="B21" s="7">
        <v>219</v>
      </c>
      <c r="C21" s="7">
        <v>5</v>
      </c>
      <c r="D21" s="7">
        <v>22.5</v>
      </c>
      <c r="E21" s="7">
        <v>1.68</v>
      </c>
      <c r="F21" s="7" t="s">
        <v>22</v>
      </c>
      <c r="G21" s="7" t="s">
        <v>23</v>
      </c>
      <c r="H21" s="7">
        <v>0</v>
      </c>
      <c r="I21" s="7">
        <v>-1</v>
      </c>
      <c r="J21" s="7">
        <v>10.7</v>
      </c>
      <c r="K21" s="7">
        <v>0</v>
      </c>
      <c r="L21" s="7">
        <v>11.2</v>
      </c>
      <c r="M21" s="7">
        <v>50</v>
      </c>
      <c r="N21" s="2">
        <f t="shared" si="0"/>
        <v>42319</v>
      </c>
      <c r="O21" s="6">
        <v>1.46445768</v>
      </c>
      <c r="P21" s="5">
        <v>4.4596315926491297</v>
      </c>
      <c r="Q21" s="5">
        <v>0.19693460925067699</v>
      </c>
      <c r="R21" s="5">
        <v>2.4183396985509602</v>
      </c>
    </row>
    <row r="22" spans="1:18" x14ac:dyDescent="0.4">
      <c r="A22" s="7">
        <v>50462</v>
      </c>
      <c r="B22" s="7">
        <v>219</v>
      </c>
      <c r="C22" s="7">
        <v>5</v>
      </c>
      <c r="D22" s="7">
        <v>23.5</v>
      </c>
      <c r="E22" s="7">
        <v>1.17</v>
      </c>
      <c r="F22" s="7" t="s">
        <v>22</v>
      </c>
      <c r="G22" s="7" t="s">
        <v>23</v>
      </c>
      <c r="H22" s="7">
        <v>0</v>
      </c>
      <c r="I22" s="7">
        <v>-1</v>
      </c>
      <c r="J22" s="7">
        <v>8.1</v>
      </c>
      <c r="K22" s="7">
        <v>0</v>
      </c>
      <c r="L22" s="7">
        <v>10.5</v>
      </c>
      <c r="M22" s="7">
        <v>50</v>
      </c>
      <c r="N22" s="2">
        <f t="shared" si="0"/>
        <v>42320</v>
      </c>
      <c r="O22" s="6">
        <v>1.32955204</v>
      </c>
      <c r="P22" s="5">
        <v>4.8815600738771296</v>
      </c>
      <c r="Q22" s="5">
        <v>0.147510705618382</v>
      </c>
      <c r="R22" s="5">
        <v>1.8156324885701201</v>
      </c>
    </row>
    <row r="23" spans="1:18" x14ac:dyDescent="0.4">
      <c r="A23" s="7">
        <v>50463</v>
      </c>
      <c r="B23" s="7">
        <v>219</v>
      </c>
      <c r="C23" s="7">
        <v>5</v>
      </c>
      <c r="D23" s="7">
        <v>24.5</v>
      </c>
      <c r="E23" s="7">
        <v>1.27</v>
      </c>
      <c r="F23" s="7" t="s">
        <v>22</v>
      </c>
      <c r="G23" s="7" t="s">
        <v>23</v>
      </c>
      <c r="H23" s="7">
        <v>0</v>
      </c>
      <c r="I23" s="7">
        <v>-1</v>
      </c>
      <c r="J23" s="7">
        <v>8.5</v>
      </c>
      <c r="K23" s="7">
        <v>0.4</v>
      </c>
      <c r="L23" s="7">
        <v>10.3</v>
      </c>
      <c r="M23" s="7">
        <v>49</v>
      </c>
      <c r="N23" s="2">
        <f t="shared" si="0"/>
        <v>42321</v>
      </c>
      <c r="O23" s="6">
        <v>1.23066904</v>
      </c>
      <c r="P23" s="5">
        <v>5.1777749733169403</v>
      </c>
      <c r="Q23" s="5">
        <v>0.18511038897202101</v>
      </c>
      <c r="R23" s="5">
        <v>1.5417468388421101</v>
      </c>
    </row>
    <row r="24" spans="1:18" x14ac:dyDescent="0.4">
      <c r="A24" s="7">
        <v>50464</v>
      </c>
      <c r="B24" s="7">
        <v>219</v>
      </c>
      <c r="C24" s="7">
        <v>5</v>
      </c>
      <c r="D24" s="7">
        <v>25.5</v>
      </c>
      <c r="E24" s="7">
        <v>1.34</v>
      </c>
      <c r="F24" s="7" t="s">
        <v>22</v>
      </c>
      <c r="G24" s="7" t="s">
        <v>23</v>
      </c>
      <c r="H24" s="7">
        <v>0</v>
      </c>
      <c r="I24" s="7">
        <v>-1</v>
      </c>
      <c r="J24" s="7">
        <v>12.3</v>
      </c>
      <c r="K24" s="7">
        <v>0</v>
      </c>
      <c r="L24" s="7">
        <v>12.4</v>
      </c>
      <c r="M24" s="7">
        <v>49</v>
      </c>
      <c r="N24" s="2">
        <f t="shared" si="0"/>
        <v>42322</v>
      </c>
      <c r="O24" s="6">
        <v>1.2254480940000001</v>
      </c>
      <c r="P24" s="5">
        <v>4.18486275521267</v>
      </c>
      <c r="Q24" s="5">
        <v>0.28024735692085401</v>
      </c>
      <c r="R24" s="5">
        <v>1.2927322794599601</v>
      </c>
    </row>
    <row r="25" spans="1:18" x14ac:dyDescent="0.4">
      <c r="A25" s="7">
        <v>50465</v>
      </c>
      <c r="B25" s="7">
        <v>219</v>
      </c>
      <c r="C25" s="7">
        <v>5</v>
      </c>
      <c r="D25" s="7">
        <v>26.5</v>
      </c>
      <c r="E25" s="7">
        <v>1.01</v>
      </c>
      <c r="F25" s="7" t="s">
        <v>22</v>
      </c>
      <c r="G25" s="7" t="s">
        <v>23</v>
      </c>
      <c r="H25" s="7">
        <v>0</v>
      </c>
      <c r="I25" s="7">
        <v>-1</v>
      </c>
      <c r="J25" s="7">
        <v>6.8</v>
      </c>
      <c r="K25" s="7">
        <v>0</v>
      </c>
      <c r="L25" s="7">
        <v>9.5</v>
      </c>
      <c r="M25" s="7">
        <v>49</v>
      </c>
      <c r="N25" s="2">
        <f t="shared" si="0"/>
        <v>42323</v>
      </c>
      <c r="O25" s="6">
        <v>1.1596401119999999</v>
      </c>
      <c r="P25" s="5">
        <v>5.0421547957215704</v>
      </c>
      <c r="Q25" s="5">
        <v>0.32186699024987703</v>
      </c>
      <c r="R25" s="5">
        <v>1.8192406422390299</v>
      </c>
    </row>
    <row r="26" spans="1:18" x14ac:dyDescent="0.4">
      <c r="A26" s="7">
        <v>50466</v>
      </c>
      <c r="B26" s="7">
        <v>219</v>
      </c>
      <c r="C26" s="7">
        <v>5</v>
      </c>
      <c r="D26" s="7">
        <v>27.5</v>
      </c>
      <c r="E26" s="7">
        <v>1.36</v>
      </c>
      <c r="F26" s="7" t="s">
        <v>22</v>
      </c>
      <c r="G26" s="7" t="s">
        <v>23</v>
      </c>
      <c r="H26" s="7">
        <v>0</v>
      </c>
      <c r="I26" s="7">
        <v>-1</v>
      </c>
      <c r="J26" s="7">
        <v>7.1</v>
      </c>
      <c r="K26" s="7">
        <v>0</v>
      </c>
      <c r="L26" s="7">
        <v>8.6</v>
      </c>
      <c r="M26" s="7">
        <v>48</v>
      </c>
      <c r="N26" s="2">
        <f t="shared" si="0"/>
        <v>42324</v>
      </c>
      <c r="O26" s="6">
        <v>1.0857962919999999</v>
      </c>
      <c r="P26" s="5">
        <v>5.59524702429285</v>
      </c>
      <c r="Q26" s="5">
        <v>0.34677341900099301</v>
      </c>
      <c r="R26" s="5">
        <v>1.35121557643057</v>
      </c>
    </row>
    <row r="27" spans="1:18" x14ac:dyDescent="0.4">
      <c r="A27" s="7">
        <v>50467</v>
      </c>
      <c r="B27" s="7">
        <v>219</v>
      </c>
      <c r="C27" s="7">
        <v>5</v>
      </c>
      <c r="D27" s="7">
        <v>28.5</v>
      </c>
      <c r="E27" s="7">
        <v>0.85</v>
      </c>
      <c r="F27" s="7" t="s">
        <v>22</v>
      </c>
      <c r="G27" s="7" t="s">
        <v>23</v>
      </c>
      <c r="H27" s="7">
        <v>0</v>
      </c>
      <c r="I27" s="7">
        <v>-1</v>
      </c>
      <c r="J27" s="7">
        <v>5.7</v>
      </c>
      <c r="K27" s="7">
        <v>0</v>
      </c>
      <c r="L27" s="7">
        <v>7.8</v>
      </c>
      <c r="M27" s="7">
        <v>48</v>
      </c>
      <c r="N27" s="2">
        <f t="shared" si="0"/>
        <v>42325</v>
      </c>
      <c r="O27" s="6">
        <v>1.0124103600000001</v>
      </c>
      <c r="P27" s="5">
        <v>7.2578267274385997</v>
      </c>
      <c r="Q27" s="5">
        <v>0.35495524007915802</v>
      </c>
      <c r="R27" s="5">
        <v>1.01551867724805</v>
      </c>
    </row>
    <row r="28" spans="1:18" x14ac:dyDescent="0.4">
      <c r="A28" s="7">
        <v>50468</v>
      </c>
      <c r="B28" s="7">
        <v>219</v>
      </c>
      <c r="C28" s="7">
        <v>5</v>
      </c>
      <c r="D28" s="7">
        <v>29.5</v>
      </c>
      <c r="E28" s="7">
        <v>0.86</v>
      </c>
      <c r="F28" s="7" t="s">
        <v>22</v>
      </c>
      <c r="G28" s="7" t="s">
        <v>23</v>
      </c>
      <c r="H28" s="7">
        <v>0</v>
      </c>
      <c r="I28" s="7">
        <v>-1</v>
      </c>
      <c r="J28" s="7">
        <v>12.9</v>
      </c>
      <c r="K28" s="7">
        <v>0</v>
      </c>
      <c r="L28" s="7">
        <v>11.6</v>
      </c>
      <c r="M28" s="7">
        <v>48</v>
      </c>
      <c r="N28" s="2">
        <f t="shared" si="0"/>
        <v>42326</v>
      </c>
      <c r="O28" s="6">
        <v>1.055776498</v>
      </c>
      <c r="P28" s="5">
        <v>3.9333874545624798</v>
      </c>
      <c r="Q28" s="5">
        <v>0.38969403531497399</v>
      </c>
      <c r="R28" s="5">
        <v>1.5311832310210001</v>
      </c>
    </row>
    <row r="29" spans="1:18" x14ac:dyDescent="0.4">
      <c r="A29" s="7">
        <v>50469</v>
      </c>
      <c r="B29" s="7">
        <v>219</v>
      </c>
      <c r="C29" s="7">
        <v>5</v>
      </c>
      <c r="D29" s="7">
        <v>30.5</v>
      </c>
      <c r="E29" s="7">
        <v>1.24</v>
      </c>
      <c r="F29" s="7" t="s">
        <v>22</v>
      </c>
      <c r="G29" s="7" t="s">
        <v>23</v>
      </c>
      <c r="H29" s="7">
        <v>0</v>
      </c>
      <c r="I29" s="7">
        <v>-1</v>
      </c>
      <c r="J29" s="7">
        <v>12.8</v>
      </c>
      <c r="K29" s="7">
        <v>0</v>
      </c>
      <c r="L29" s="7">
        <v>12.8</v>
      </c>
      <c r="M29" s="7">
        <v>48</v>
      </c>
      <c r="N29" s="2">
        <f t="shared" si="0"/>
        <v>42327</v>
      </c>
      <c r="O29" s="6">
        <v>1.1177021279999999</v>
      </c>
      <c r="P29" s="5">
        <v>4.0270330315666101</v>
      </c>
      <c r="Q29" s="5">
        <v>0.41024031069776501</v>
      </c>
      <c r="R29" s="5">
        <v>1.9239668177590299</v>
      </c>
    </row>
    <row r="30" spans="1:18" x14ac:dyDescent="0.4">
      <c r="A30" s="7">
        <v>50470</v>
      </c>
      <c r="B30" s="7">
        <v>219</v>
      </c>
      <c r="C30" s="7">
        <v>5</v>
      </c>
      <c r="D30" s="7">
        <v>31.5</v>
      </c>
      <c r="E30" s="7">
        <v>1.0900000000000001</v>
      </c>
      <c r="F30" s="7" t="s">
        <v>22</v>
      </c>
      <c r="G30" s="7" t="s">
        <v>23</v>
      </c>
      <c r="H30" s="7">
        <v>0</v>
      </c>
      <c r="I30" s="7">
        <v>-1</v>
      </c>
      <c r="J30" s="7">
        <v>15.2</v>
      </c>
      <c r="K30" s="7">
        <v>0</v>
      </c>
      <c r="L30" s="7">
        <v>15.5</v>
      </c>
      <c r="M30" s="7">
        <v>48</v>
      </c>
      <c r="N30" s="2">
        <f t="shared" si="0"/>
        <v>42328</v>
      </c>
      <c r="O30" s="6">
        <v>1.1958167479999999</v>
      </c>
      <c r="P30" s="5">
        <v>3.3472889125588501</v>
      </c>
      <c r="Q30" s="5">
        <v>0.41024129723790698</v>
      </c>
      <c r="R30" s="5">
        <v>2.1941927515880102</v>
      </c>
    </row>
    <row r="31" spans="1:18" x14ac:dyDescent="0.4">
      <c r="A31" s="7">
        <v>50471</v>
      </c>
      <c r="B31" s="7">
        <v>219</v>
      </c>
      <c r="C31" s="7">
        <v>5</v>
      </c>
      <c r="D31" s="7">
        <v>33.5</v>
      </c>
      <c r="E31" s="7">
        <v>1.38</v>
      </c>
      <c r="F31" s="7" t="s">
        <v>22</v>
      </c>
      <c r="G31" s="7" t="s">
        <v>23</v>
      </c>
      <c r="H31" s="7">
        <v>0</v>
      </c>
      <c r="I31" s="7">
        <v>-1</v>
      </c>
      <c r="J31" s="7">
        <v>5.0999999999999996</v>
      </c>
      <c r="K31" s="7">
        <v>15.5</v>
      </c>
      <c r="L31" s="7">
        <v>8.1</v>
      </c>
      <c r="M31" s="7">
        <v>72</v>
      </c>
      <c r="N31" s="2">
        <f t="shared" si="0"/>
        <v>42330</v>
      </c>
      <c r="O31" s="6">
        <v>1.23676466</v>
      </c>
      <c r="P31" s="5">
        <v>11.7710416314724</v>
      </c>
      <c r="Q31" s="5">
        <v>0.42470002059147299</v>
      </c>
      <c r="R31" s="5">
        <v>1.9935602342507699</v>
      </c>
    </row>
    <row r="32" spans="1:18" x14ac:dyDescent="0.4">
      <c r="A32" s="7">
        <v>50472</v>
      </c>
      <c r="B32" s="7">
        <v>219</v>
      </c>
      <c r="C32" s="7">
        <v>5</v>
      </c>
      <c r="D32" s="7">
        <v>35.5</v>
      </c>
      <c r="E32" s="7">
        <v>2.44</v>
      </c>
      <c r="F32" s="7" t="s">
        <v>22</v>
      </c>
      <c r="G32" s="7" t="s">
        <v>23</v>
      </c>
      <c r="H32" s="7">
        <v>0</v>
      </c>
      <c r="I32" s="7">
        <v>-1</v>
      </c>
      <c r="J32" s="7">
        <v>-0.5</v>
      </c>
      <c r="K32" s="7">
        <v>8.1999999999999993</v>
      </c>
      <c r="L32" s="7">
        <v>2.7</v>
      </c>
      <c r="M32" s="7">
        <v>64</v>
      </c>
      <c r="N32" s="2">
        <f t="shared" si="0"/>
        <v>42332</v>
      </c>
      <c r="O32" s="6">
        <v>1.19437934</v>
      </c>
      <c r="P32" s="5">
        <v>11.1761750443768</v>
      </c>
      <c r="Q32" s="5">
        <v>0.29020874477379699</v>
      </c>
      <c r="R32" s="5">
        <v>1.7162394996452399</v>
      </c>
    </row>
    <row r="33" spans="1:18" x14ac:dyDescent="0.4">
      <c r="A33" s="7">
        <v>50473</v>
      </c>
      <c r="B33" s="7">
        <v>219</v>
      </c>
      <c r="C33" s="7">
        <v>5</v>
      </c>
      <c r="D33" s="7">
        <v>41.5</v>
      </c>
      <c r="E33" s="7">
        <v>4.5199999999999996</v>
      </c>
      <c r="F33" s="7" t="s">
        <v>22</v>
      </c>
      <c r="G33" s="7" t="s">
        <v>23</v>
      </c>
      <c r="H33" s="7">
        <v>0</v>
      </c>
      <c r="I33" s="7">
        <v>-1</v>
      </c>
      <c r="J33" s="7">
        <v>5.8</v>
      </c>
      <c r="K33" s="7">
        <v>0</v>
      </c>
      <c r="L33" s="7">
        <v>7.7</v>
      </c>
      <c r="M33" s="7">
        <v>70</v>
      </c>
      <c r="N33" s="2">
        <f t="shared" si="0"/>
        <v>42338</v>
      </c>
      <c r="O33" s="6">
        <v>3.2725726599999998</v>
      </c>
      <c r="P33" s="5">
        <v>9.2610131313595705</v>
      </c>
      <c r="Q33" s="5">
        <v>1.80249021849673</v>
      </c>
      <c r="R33" s="5">
        <v>0.77712140102805205</v>
      </c>
    </row>
    <row r="34" spans="1:18" x14ac:dyDescent="0.4">
      <c r="A34" s="7">
        <v>50474</v>
      </c>
      <c r="B34" s="7">
        <v>219</v>
      </c>
      <c r="C34" s="7">
        <v>5</v>
      </c>
      <c r="D34" s="7">
        <v>42.5</v>
      </c>
      <c r="E34" s="7">
        <v>2.75</v>
      </c>
      <c r="F34" s="7" t="s">
        <v>22</v>
      </c>
      <c r="G34" s="7" t="s">
        <v>23</v>
      </c>
      <c r="H34" s="7">
        <v>0</v>
      </c>
      <c r="I34" s="7">
        <v>-1</v>
      </c>
      <c r="J34" s="7">
        <v>2.4</v>
      </c>
      <c r="K34" s="7">
        <v>0</v>
      </c>
      <c r="L34" s="7">
        <v>4.7</v>
      </c>
      <c r="M34" s="7">
        <v>68</v>
      </c>
      <c r="N34" s="2">
        <f t="shared" si="0"/>
        <v>42339</v>
      </c>
      <c r="O34" s="6">
        <v>3.6137372600000002</v>
      </c>
      <c r="P34" s="5">
        <v>12.9046002487483</v>
      </c>
      <c r="Q34" s="5">
        <v>1.77897927584812</v>
      </c>
      <c r="R34" s="5">
        <v>2.0917129990895398</v>
      </c>
    </row>
    <row r="35" spans="1:18" x14ac:dyDescent="0.4">
      <c r="A35" s="7">
        <v>50475</v>
      </c>
      <c r="B35" s="7">
        <v>219</v>
      </c>
      <c r="C35" s="7">
        <v>5</v>
      </c>
      <c r="D35" s="7">
        <v>43.5</v>
      </c>
      <c r="E35" s="7">
        <v>4.3</v>
      </c>
      <c r="F35" s="7" t="s">
        <v>22</v>
      </c>
      <c r="G35" s="7" t="s">
        <v>23</v>
      </c>
      <c r="H35" s="7">
        <v>0</v>
      </c>
      <c r="I35" s="7">
        <v>-1</v>
      </c>
      <c r="J35" s="7">
        <v>2.2999999999999998</v>
      </c>
      <c r="K35" s="7">
        <v>0</v>
      </c>
      <c r="L35" s="7">
        <v>3.1</v>
      </c>
      <c r="M35" s="7">
        <v>67</v>
      </c>
      <c r="N35" s="2">
        <f t="shared" si="0"/>
        <v>42340</v>
      </c>
      <c r="O35" s="6">
        <v>3.7461484999999999</v>
      </c>
      <c r="P35" s="5">
        <v>12.8452675332447</v>
      </c>
      <c r="Q35" s="5">
        <v>1.7124068823051299</v>
      </c>
      <c r="R35" s="5">
        <v>1.9405884097026</v>
      </c>
    </row>
    <row r="36" spans="1:18" x14ac:dyDescent="0.4">
      <c r="A36" s="7">
        <v>50476</v>
      </c>
      <c r="B36" s="7">
        <v>219</v>
      </c>
      <c r="C36" s="7">
        <v>5</v>
      </c>
      <c r="D36" s="7">
        <v>44.5</v>
      </c>
      <c r="E36" s="7">
        <v>2.1</v>
      </c>
      <c r="F36" s="7" t="s">
        <v>22</v>
      </c>
      <c r="G36" s="7" t="s">
        <v>23</v>
      </c>
      <c r="H36" s="7">
        <v>0</v>
      </c>
      <c r="I36" s="7">
        <v>-1</v>
      </c>
      <c r="J36" s="7">
        <v>1.8</v>
      </c>
      <c r="K36" s="7">
        <v>0</v>
      </c>
      <c r="L36" s="7">
        <v>3.2</v>
      </c>
      <c r="M36" s="7">
        <v>66</v>
      </c>
      <c r="N36" s="2">
        <f t="shared" si="0"/>
        <v>42341</v>
      </c>
      <c r="O36" s="6">
        <v>3.74905256</v>
      </c>
      <c r="P36" s="5">
        <v>12.807411066838799</v>
      </c>
      <c r="Q36" s="5">
        <v>1.64601904588047</v>
      </c>
      <c r="R36" s="5">
        <v>2.1552418870202001</v>
      </c>
    </row>
    <row r="37" spans="1:18" x14ac:dyDescent="0.4">
      <c r="A37" s="7">
        <v>50477</v>
      </c>
      <c r="B37" s="7">
        <v>219</v>
      </c>
      <c r="C37" s="7">
        <v>5</v>
      </c>
      <c r="D37" s="7">
        <v>45.5</v>
      </c>
      <c r="E37" s="7">
        <v>4.01</v>
      </c>
      <c r="F37" s="7" t="s">
        <v>22</v>
      </c>
      <c r="G37" s="7" t="s">
        <v>23</v>
      </c>
      <c r="H37" s="7">
        <v>0</v>
      </c>
      <c r="I37" s="7">
        <v>-1</v>
      </c>
      <c r="J37" s="7">
        <v>5.8</v>
      </c>
      <c r="K37" s="7">
        <v>0</v>
      </c>
      <c r="L37" s="7">
        <v>6.3</v>
      </c>
      <c r="M37" s="7">
        <v>66</v>
      </c>
      <c r="N37" s="2">
        <f t="shared" si="0"/>
        <v>42342</v>
      </c>
      <c r="O37" s="6">
        <v>4.0364677200000001</v>
      </c>
      <c r="P37" s="5">
        <v>7.9291485767668597</v>
      </c>
      <c r="Q37" s="5">
        <v>1.81113545988254</v>
      </c>
      <c r="R37" s="5">
        <v>1.7049276765905499</v>
      </c>
    </row>
    <row r="38" spans="1:18" x14ac:dyDescent="0.4">
      <c r="A38" s="7">
        <v>50478</v>
      </c>
      <c r="B38" s="7">
        <v>219</v>
      </c>
      <c r="C38" s="7">
        <v>5</v>
      </c>
      <c r="D38" s="7">
        <v>46.5</v>
      </c>
      <c r="E38" s="7">
        <v>3.38</v>
      </c>
      <c r="F38" s="7" t="s">
        <v>22</v>
      </c>
      <c r="G38" s="7" t="s">
        <v>23</v>
      </c>
      <c r="H38" s="7">
        <v>0</v>
      </c>
      <c r="I38" s="7">
        <v>-1</v>
      </c>
      <c r="J38" s="7">
        <v>10.6</v>
      </c>
      <c r="K38" s="7">
        <v>0.4</v>
      </c>
      <c r="L38" s="7">
        <v>10.199999999999999</v>
      </c>
      <c r="M38" s="7">
        <v>65</v>
      </c>
      <c r="N38" s="2">
        <f t="shared" si="0"/>
        <v>42343</v>
      </c>
      <c r="O38" s="6">
        <v>4.6248652400000001</v>
      </c>
      <c r="P38" s="5">
        <v>6.0734164390718801</v>
      </c>
      <c r="Q38" s="5">
        <v>2.2117687531626502</v>
      </c>
      <c r="R38" s="5">
        <v>0.93061792653870601</v>
      </c>
    </row>
    <row r="39" spans="1:18" x14ac:dyDescent="0.4">
      <c r="A39" s="7">
        <v>50479</v>
      </c>
      <c r="B39" s="7">
        <v>219</v>
      </c>
      <c r="C39" s="7">
        <v>5</v>
      </c>
      <c r="D39" s="7">
        <v>47.5</v>
      </c>
      <c r="E39" s="7">
        <v>2.21</v>
      </c>
      <c r="F39" s="7" t="s">
        <v>22</v>
      </c>
      <c r="G39" s="7" t="s">
        <v>23</v>
      </c>
      <c r="H39" s="7">
        <v>0</v>
      </c>
      <c r="I39" s="7">
        <v>-1</v>
      </c>
      <c r="J39" s="7">
        <v>8.5</v>
      </c>
      <c r="K39" s="7">
        <v>0</v>
      </c>
      <c r="L39" s="7">
        <v>8.6999999999999993</v>
      </c>
      <c r="M39" s="7">
        <v>64</v>
      </c>
      <c r="N39" s="2">
        <f t="shared" si="0"/>
        <v>42344</v>
      </c>
      <c r="O39" s="6">
        <v>4.7612987599999999</v>
      </c>
      <c r="P39" s="5">
        <v>5.5518416855822501</v>
      </c>
      <c r="Q39" s="5">
        <v>2.2117219777045598</v>
      </c>
      <c r="R39" s="5">
        <v>1.5141076198957399</v>
      </c>
    </row>
    <row r="40" spans="1:18" x14ac:dyDescent="0.4">
      <c r="A40" s="7">
        <v>50480</v>
      </c>
      <c r="B40" s="7">
        <v>219</v>
      </c>
      <c r="C40" s="7">
        <v>5</v>
      </c>
      <c r="D40" s="7">
        <v>48.5</v>
      </c>
      <c r="E40" s="7">
        <v>2.06</v>
      </c>
      <c r="F40" s="7" t="s">
        <v>22</v>
      </c>
      <c r="G40" s="7" t="s">
        <v>23</v>
      </c>
      <c r="H40" s="7">
        <v>0</v>
      </c>
      <c r="I40" s="7">
        <v>-1</v>
      </c>
      <c r="J40" s="7">
        <v>9.6999999999999993</v>
      </c>
      <c r="K40" s="7">
        <v>0</v>
      </c>
      <c r="L40" s="7">
        <v>9.3000000000000007</v>
      </c>
      <c r="M40" s="7">
        <v>63</v>
      </c>
      <c r="N40" s="2">
        <f t="shared" si="0"/>
        <v>42345</v>
      </c>
      <c r="O40" s="6">
        <v>4.5023220200000003</v>
      </c>
      <c r="P40" s="5">
        <v>5.3666712565715899</v>
      </c>
      <c r="Q40" s="5">
        <v>1.9117111237414099</v>
      </c>
      <c r="R40" s="5">
        <v>1.5539179222211601</v>
      </c>
    </row>
    <row r="41" spans="1:18" x14ac:dyDescent="0.4">
      <c r="A41" s="7">
        <v>50481</v>
      </c>
      <c r="B41" s="7">
        <v>219</v>
      </c>
      <c r="C41" s="7">
        <v>5</v>
      </c>
      <c r="D41" s="7">
        <v>49.5</v>
      </c>
      <c r="E41" s="7">
        <v>4.0599999999999996</v>
      </c>
      <c r="F41" s="7" t="s">
        <v>22</v>
      </c>
      <c r="G41" s="7" t="s">
        <v>23</v>
      </c>
      <c r="H41" s="7">
        <v>0</v>
      </c>
      <c r="I41" s="7">
        <v>-1</v>
      </c>
      <c r="J41" s="7">
        <v>10.1</v>
      </c>
      <c r="K41" s="7">
        <v>3</v>
      </c>
      <c r="L41" s="7">
        <v>9.8000000000000007</v>
      </c>
      <c r="M41" s="7">
        <v>62</v>
      </c>
      <c r="N41" s="2">
        <f t="shared" si="0"/>
        <v>42346</v>
      </c>
      <c r="O41" s="6">
        <v>3.8189814800000002</v>
      </c>
      <c r="P41" s="5">
        <v>6.2993372847779199</v>
      </c>
      <c r="Q41" s="5">
        <v>1.19855932271108</v>
      </c>
      <c r="R41" s="5">
        <v>1.5973945559084901</v>
      </c>
    </row>
    <row r="42" spans="1:18" x14ac:dyDescent="0.4">
      <c r="A42" s="7">
        <v>50482</v>
      </c>
      <c r="B42" s="7">
        <v>219</v>
      </c>
      <c r="C42" s="7">
        <v>5</v>
      </c>
      <c r="D42" s="7">
        <v>50.5</v>
      </c>
      <c r="E42" s="7">
        <v>4.57</v>
      </c>
      <c r="F42" s="7" t="s">
        <v>22</v>
      </c>
      <c r="G42" s="7" t="s">
        <v>23</v>
      </c>
      <c r="H42" s="7">
        <v>0</v>
      </c>
      <c r="I42" s="7">
        <v>-1</v>
      </c>
      <c r="J42" s="7">
        <v>11.8</v>
      </c>
      <c r="K42" s="7">
        <v>0</v>
      </c>
      <c r="L42" s="7">
        <v>12.1</v>
      </c>
      <c r="M42" s="7">
        <v>67</v>
      </c>
      <c r="N42" s="2">
        <f t="shared" si="0"/>
        <v>42347</v>
      </c>
      <c r="O42" s="6">
        <v>3.7662014199999998</v>
      </c>
      <c r="P42" s="5">
        <v>8.3053190446032801</v>
      </c>
      <c r="Q42" s="5">
        <v>0.96685542191490104</v>
      </c>
      <c r="R42" s="5">
        <v>0.45258175507790199</v>
      </c>
    </row>
    <row r="43" spans="1:18" x14ac:dyDescent="0.4">
      <c r="A43" s="7">
        <v>50483</v>
      </c>
      <c r="B43" s="7">
        <v>219</v>
      </c>
      <c r="C43" s="7">
        <v>5</v>
      </c>
      <c r="D43" s="7">
        <v>51.5</v>
      </c>
      <c r="E43" s="7">
        <v>2.88</v>
      </c>
      <c r="F43" s="7" t="s">
        <v>22</v>
      </c>
      <c r="G43" s="7" t="s">
        <v>23</v>
      </c>
      <c r="H43" s="7">
        <v>0</v>
      </c>
      <c r="I43" s="7">
        <v>-1</v>
      </c>
      <c r="J43" s="7">
        <v>3.1</v>
      </c>
      <c r="K43" s="7">
        <v>0</v>
      </c>
      <c r="L43" s="7">
        <v>6.1</v>
      </c>
      <c r="M43" s="7">
        <v>67</v>
      </c>
      <c r="N43" s="2">
        <f t="shared" si="0"/>
        <v>42348</v>
      </c>
      <c r="O43" s="6">
        <v>3.4833275800000001</v>
      </c>
      <c r="P43" s="5">
        <v>13.9059929009049</v>
      </c>
      <c r="Q43" s="5">
        <v>0.725180805432588</v>
      </c>
      <c r="R43" s="5">
        <v>1.2378080663862301</v>
      </c>
    </row>
    <row r="44" spans="1:18" x14ac:dyDescent="0.4">
      <c r="A44" s="7">
        <v>50484</v>
      </c>
      <c r="B44" s="7">
        <v>219</v>
      </c>
      <c r="C44" s="7">
        <v>5</v>
      </c>
      <c r="D44" s="7">
        <v>52.5</v>
      </c>
      <c r="E44" s="7">
        <v>4.93</v>
      </c>
      <c r="F44" s="7" t="s">
        <v>22</v>
      </c>
      <c r="G44" s="7" t="s">
        <v>23</v>
      </c>
      <c r="H44" s="7">
        <v>0</v>
      </c>
      <c r="I44" s="7">
        <v>-1</v>
      </c>
      <c r="J44" s="7">
        <v>2.6</v>
      </c>
      <c r="K44" s="7">
        <v>0</v>
      </c>
      <c r="L44" s="7">
        <v>5.0999999999999996</v>
      </c>
      <c r="M44" s="7">
        <v>65</v>
      </c>
      <c r="N44" s="2">
        <f t="shared" si="0"/>
        <v>42349</v>
      </c>
      <c r="O44" s="6">
        <v>3.2494057199999999</v>
      </c>
      <c r="P44" s="5">
        <v>14.749733286073999</v>
      </c>
      <c r="Q44" s="5">
        <v>0.62938423301348101</v>
      </c>
      <c r="R44" s="5">
        <v>3.0114950893498098</v>
      </c>
    </row>
    <row r="45" spans="1:18" x14ac:dyDescent="0.4">
      <c r="A45" s="7">
        <v>50485</v>
      </c>
      <c r="B45" s="7">
        <v>219</v>
      </c>
      <c r="C45" s="7">
        <v>5</v>
      </c>
      <c r="D45" s="7">
        <v>53.5</v>
      </c>
      <c r="E45" s="7">
        <v>1.97</v>
      </c>
      <c r="F45" s="7" t="s">
        <v>22</v>
      </c>
      <c r="G45" s="7" t="s">
        <v>23</v>
      </c>
      <c r="H45" s="7">
        <v>0</v>
      </c>
      <c r="I45" s="7">
        <v>-1</v>
      </c>
      <c r="J45" s="7">
        <v>2.2999999999999998</v>
      </c>
      <c r="K45" s="7">
        <v>0</v>
      </c>
      <c r="L45" s="7">
        <v>4.4000000000000004</v>
      </c>
      <c r="M45" s="7">
        <v>63</v>
      </c>
      <c r="N45" s="2">
        <f t="shared" si="0"/>
        <v>42350</v>
      </c>
      <c r="O45" s="6">
        <v>3.0741673600000001</v>
      </c>
      <c r="P45" s="5">
        <v>11.9688771201569</v>
      </c>
      <c r="Q45" s="5">
        <v>0.64172747202601699</v>
      </c>
      <c r="R45" s="5">
        <v>2.1315455117879401</v>
      </c>
    </row>
    <row r="46" spans="1:18" x14ac:dyDescent="0.4">
      <c r="A46" s="7">
        <v>50486</v>
      </c>
      <c r="B46" s="7">
        <v>219</v>
      </c>
      <c r="C46" s="7">
        <v>5</v>
      </c>
      <c r="D46" s="7">
        <v>54.5</v>
      </c>
      <c r="E46" s="7">
        <v>3.35</v>
      </c>
      <c r="F46" s="7" t="s">
        <v>22</v>
      </c>
      <c r="G46" s="7" t="s">
        <v>23</v>
      </c>
      <c r="H46" s="7">
        <v>0</v>
      </c>
      <c r="I46" s="7">
        <v>-1</v>
      </c>
      <c r="J46" s="7">
        <v>2.5</v>
      </c>
      <c r="K46" s="7">
        <v>0</v>
      </c>
      <c r="L46" s="7">
        <v>4.2</v>
      </c>
      <c r="M46" s="7">
        <v>62</v>
      </c>
      <c r="N46" s="2">
        <f t="shared" si="0"/>
        <v>42351</v>
      </c>
      <c r="O46" s="6">
        <v>2.9499784199999999</v>
      </c>
      <c r="P46" s="5">
        <v>12.1677384375798</v>
      </c>
      <c r="Q46" s="5">
        <v>0.70045063856219902</v>
      </c>
      <c r="R46" s="5">
        <v>2.1628787427975502</v>
      </c>
    </row>
    <row r="47" spans="1:18" x14ac:dyDescent="0.4">
      <c r="A47" s="7">
        <v>50487</v>
      </c>
      <c r="B47" s="7">
        <v>219</v>
      </c>
      <c r="C47" s="7">
        <v>5</v>
      </c>
      <c r="D47" s="7">
        <v>55.5</v>
      </c>
      <c r="E47" s="7">
        <v>2.71</v>
      </c>
      <c r="F47" s="7" t="s">
        <v>22</v>
      </c>
      <c r="G47" s="7" t="s">
        <v>23</v>
      </c>
      <c r="H47" s="7">
        <v>0</v>
      </c>
      <c r="I47" s="7">
        <v>-1</v>
      </c>
      <c r="J47" s="7">
        <v>3.9</v>
      </c>
      <c r="K47" s="7">
        <v>0</v>
      </c>
      <c r="L47" s="7">
        <v>4.5999999999999996</v>
      </c>
      <c r="M47" s="7">
        <v>61</v>
      </c>
      <c r="N47" s="2">
        <f t="shared" si="0"/>
        <v>42352</v>
      </c>
      <c r="O47" s="6">
        <v>2.8773701200000001</v>
      </c>
      <c r="P47" s="5">
        <v>13.152398287852799</v>
      </c>
      <c r="Q47" s="5">
        <v>0.75028136294458703</v>
      </c>
      <c r="R47" s="5">
        <v>2.07213914499739</v>
      </c>
    </row>
    <row r="48" spans="1:18" x14ac:dyDescent="0.4">
      <c r="A48" s="7">
        <v>50488</v>
      </c>
      <c r="B48" s="7">
        <v>219</v>
      </c>
      <c r="C48" s="7">
        <v>5</v>
      </c>
      <c r="D48" s="7">
        <v>56.5</v>
      </c>
      <c r="E48" s="7">
        <v>2.46</v>
      </c>
      <c r="F48" s="7" t="s">
        <v>22</v>
      </c>
      <c r="G48" s="7" t="s">
        <v>23</v>
      </c>
      <c r="H48" s="7">
        <v>0</v>
      </c>
      <c r="I48" s="7">
        <v>-1</v>
      </c>
      <c r="J48" s="7">
        <v>7.7</v>
      </c>
      <c r="K48" s="7">
        <v>0</v>
      </c>
      <c r="L48" s="7">
        <v>7.5</v>
      </c>
      <c r="M48" s="7">
        <v>60</v>
      </c>
      <c r="N48" s="2">
        <f t="shared" si="0"/>
        <v>42353</v>
      </c>
      <c r="O48" s="6">
        <v>2.92369016</v>
      </c>
      <c r="P48" s="5">
        <v>5.3850150884396797</v>
      </c>
      <c r="Q48" s="5">
        <v>0.799475751021545</v>
      </c>
      <c r="R48" s="5">
        <v>1.6262619844569299</v>
      </c>
    </row>
    <row r="49" spans="1:18" x14ac:dyDescent="0.4">
      <c r="A49" s="7">
        <v>50489</v>
      </c>
      <c r="B49" s="7">
        <v>219</v>
      </c>
      <c r="C49" s="7">
        <v>5</v>
      </c>
      <c r="D49" s="7">
        <v>57.5</v>
      </c>
      <c r="E49" s="7">
        <v>2.64</v>
      </c>
      <c r="F49" s="7" t="s">
        <v>22</v>
      </c>
      <c r="G49" s="7" t="s">
        <v>23</v>
      </c>
      <c r="H49" s="7">
        <v>0</v>
      </c>
      <c r="I49" s="7">
        <v>-1</v>
      </c>
      <c r="J49" s="7">
        <v>7.3</v>
      </c>
      <c r="K49" s="7">
        <v>0</v>
      </c>
      <c r="L49" s="7">
        <v>8.1999999999999993</v>
      </c>
      <c r="M49" s="7">
        <v>59</v>
      </c>
      <c r="N49" s="2">
        <f t="shared" si="0"/>
        <v>42354</v>
      </c>
      <c r="O49" s="6">
        <v>2.9207008999999999</v>
      </c>
      <c r="P49" s="5">
        <v>6.2127709119390397</v>
      </c>
      <c r="Q49" s="5">
        <v>0.82171639422616205</v>
      </c>
      <c r="R49" s="5">
        <v>1.22033489572332</v>
      </c>
    </row>
    <row r="50" spans="1:18" x14ac:dyDescent="0.4">
      <c r="A50" s="7">
        <v>50490</v>
      </c>
      <c r="B50" s="7">
        <v>219</v>
      </c>
      <c r="C50" s="7">
        <v>5</v>
      </c>
      <c r="D50" s="7">
        <v>58.5</v>
      </c>
      <c r="E50" s="7">
        <v>3.07</v>
      </c>
      <c r="F50" s="7" t="s">
        <v>22</v>
      </c>
      <c r="G50" s="7" t="s">
        <v>23</v>
      </c>
      <c r="H50" s="7">
        <v>0</v>
      </c>
      <c r="I50" s="7">
        <v>-1</v>
      </c>
      <c r="J50" s="7">
        <v>8.8000000000000007</v>
      </c>
      <c r="K50" s="7">
        <v>0</v>
      </c>
      <c r="L50" s="7">
        <v>8.8000000000000007</v>
      </c>
      <c r="M50" s="7">
        <v>59</v>
      </c>
      <c r="N50" s="2">
        <f t="shared" si="0"/>
        <v>42355</v>
      </c>
      <c r="O50" s="6">
        <v>2.8786838600000002</v>
      </c>
      <c r="P50" s="5">
        <v>5.4240859746893797</v>
      </c>
      <c r="Q50" s="5">
        <v>0.82105229447008299</v>
      </c>
      <c r="R50" s="5">
        <v>1.38106169803765</v>
      </c>
    </row>
    <row r="51" spans="1:18" x14ac:dyDescent="0.4">
      <c r="A51" s="7">
        <v>50491</v>
      </c>
      <c r="B51" s="7">
        <v>219</v>
      </c>
      <c r="C51" s="7">
        <v>5</v>
      </c>
      <c r="D51" s="7">
        <v>59.5</v>
      </c>
      <c r="E51" s="7">
        <v>3.47</v>
      </c>
      <c r="F51" s="7" t="s">
        <v>22</v>
      </c>
      <c r="G51" s="7" t="s">
        <v>23</v>
      </c>
      <c r="H51" s="7">
        <v>0</v>
      </c>
      <c r="I51" s="7">
        <v>-1</v>
      </c>
      <c r="J51" s="7">
        <v>9.8000000000000007</v>
      </c>
      <c r="K51" s="7">
        <v>0</v>
      </c>
      <c r="L51" s="7">
        <v>9.9</v>
      </c>
      <c r="M51" s="7">
        <v>58</v>
      </c>
      <c r="N51" s="2">
        <f t="shared" si="0"/>
        <v>42356</v>
      </c>
      <c r="O51" s="6">
        <v>2.7969866200000002</v>
      </c>
      <c r="P51" s="5">
        <v>4.9869427795648598</v>
      </c>
      <c r="Q51" s="5">
        <v>0.79675476266798795</v>
      </c>
      <c r="R51" s="5">
        <v>1.64067567943653</v>
      </c>
    </row>
    <row r="52" spans="1:18" x14ac:dyDescent="0.4">
      <c r="A52" s="7">
        <v>50492</v>
      </c>
      <c r="B52" s="7">
        <v>219</v>
      </c>
      <c r="C52" s="7">
        <v>5</v>
      </c>
      <c r="D52" s="7">
        <v>60.5</v>
      </c>
      <c r="E52" s="7">
        <v>1.83</v>
      </c>
      <c r="F52" s="7" t="s">
        <v>22</v>
      </c>
      <c r="G52" s="7" t="s">
        <v>23</v>
      </c>
      <c r="H52" s="7">
        <v>0</v>
      </c>
      <c r="I52" s="7">
        <v>-1</v>
      </c>
      <c r="J52" s="7">
        <v>8.4</v>
      </c>
      <c r="K52" s="7">
        <v>0</v>
      </c>
      <c r="L52" s="7">
        <v>9.1999999999999993</v>
      </c>
      <c r="M52" s="7">
        <v>58</v>
      </c>
      <c r="N52" s="2">
        <f t="shared" si="0"/>
        <v>42357</v>
      </c>
      <c r="O52" s="6">
        <v>2.6751330800000002</v>
      </c>
      <c r="P52" s="5">
        <v>5.1315687423359098</v>
      </c>
      <c r="Q52" s="5">
        <v>0.76436133340777801</v>
      </c>
      <c r="R52" s="5">
        <v>1.6486084358123201</v>
      </c>
    </row>
    <row r="53" spans="1:18" x14ac:dyDescent="0.4">
      <c r="A53" s="7">
        <v>50493</v>
      </c>
      <c r="B53" s="7">
        <v>219</v>
      </c>
      <c r="C53" s="7">
        <v>5</v>
      </c>
      <c r="D53" s="7">
        <v>61.5</v>
      </c>
      <c r="E53" s="7">
        <v>1.77</v>
      </c>
      <c r="F53" s="7" t="s">
        <v>22</v>
      </c>
      <c r="G53" s="7" t="s">
        <v>23</v>
      </c>
      <c r="H53" s="7">
        <v>0</v>
      </c>
      <c r="I53" s="7">
        <v>-1</v>
      </c>
      <c r="J53" s="7">
        <v>11.3</v>
      </c>
      <c r="K53" s="7">
        <v>0.4</v>
      </c>
      <c r="L53" s="7">
        <v>11.1</v>
      </c>
      <c r="M53" s="7">
        <v>57</v>
      </c>
      <c r="N53" s="2">
        <f t="shared" si="0"/>
        <v>42358</v>
      </c>
      <c r="O53" s="6">
        <v>2.6117888599999999</v>
      </c>
      <c r="P53" s="5">
        <v>5.0101231089931497</v>
      </c>
      <c r="Q53" s="5">
        <v>0.74972195346441495</v>
      </c>
      <c r="R53" s="5">
        <v>1.59857811167024</v>
      </c>
    </row>
    <row r="54" spans="1:18" x14ac:dyDescent="0.4">
      <c r="A54" s="7">
        <v>50494</v>
      </c>
      <c r="B54" s="7">
        <v>219</v>
      </c>
      <c r="C54" s="7">
        <v>5</v>
      </c>
      <c r="D54" s="7">
        <v>62.5</v>
      </c>
      <c r="E54" s="7">
        <v>3.52</v>
      </c>
      <c r="F54" s="7" t="s">
        <v>22</v>
      </c>
      <c r="G54" s="7" t="s">
        <v>23</v>
      </c>
      <c r="H54" s="7">
        <v>0</v>
      </c>
      <c r="I54" s="7">
        <v>-1</v>
      </c>
      <c r="J54" s="7">
        <v>9.1</v>
      </c>
      <c r="K54" s="7">
        <v>0</v>
      </c>
      <c r="L54" s="7">
        <v>10</v>
      </c>
      <c r="M54" s="7">
        <v>56</v>
      </c>
      <c r="N54" s="2">
        <f t="shared" si="0"/>
        <v>42359</v>
      </c>
      <c r="O54" s="6">
        <v>2.5116318400000002</v>
      </c>
      <c r="P54" s="5">
        <v>5.4990431721845798</v>
      </c>
      <c r="Q54" s="5">
        <v>0.72267075253065804</v>
      </c>
      <c r="R54" s="5">
        <v>1.9213142158579499</v>
      </c>
    </row>
    <row r="55" spans="1:18" x14ac:dyDescent="0.4">
      <c r="A55" s="7">
        <v>50495</v>
      </c>
      <c r="B55" s="7">
        <v>219</v>
      </c>
      <c r="C55" s="7">
        <v>5</v>
      </c>
      <c r="D55" s="7">
        <v>63.5</v>
      </c>
      <c r="E55" s="7">
        <v>1.87</v>
      </c>
      <c r="F55" s="7" t="s">
        <v>22</v>
      </c>
      <c r="G55" s="7" t="s">
        <v>23</v>
      </c>
      <c r="H55" s="7">
        <v>0</v>
      </c>
      <c r="I55" s="7">
        <v>-1</v>
      </c>
      <c r="J55" s="7">
        <v>5.0999999999999996</v>
      </c>
      <c r="K55" s="7">
        <v>0</v>
      </c>
      <c r="L55" s="7">
        <v>7.1</v>
      </c>
      <c r="M55" s="7">
        <v>56</v>
      </c>
      <c r="N55" s="2">
        <f t="shared" si="0"/>
        <v>42360</v>
      </c>
      <c r="O55" s="6">
        <v>2.3154283000000002</v>
      </c>
      <c r="P55" s="5">
        <v>8.9602187820472601</v>
      </c>
      <c r="Q55" s="5">
        <v>0.65049672625200405</v>
      </c>
      <c r="R55" s="5">
        <v>1.6971209726040599</v>
      </c>
    </row>
    <row r="56" spans="1:18" x14ac:dyDescent="0.4">
      <c r="A56" s="7">
        <v>50496</v>
      </c>
      <c r="B56" s="7">
        <v>219</v>
      </c>
      <c r="C56" s="7">
        <v>5</v>
      </c>
      <c r="D56" s="7">
        <v>64.5</v>
      </c>
      <c r="E56" s="7">
        <v>1.4</v>
      </c>
      <c r="F56" s="7" t="s">
        <v>22</v>
      </c>
      <c r="G56" s="7" t="s">
        <v>23</v>
      </c>
      <c r="H56" s="7">
        <v>0</v>
      </c>
      <c r="I56" s="7">
        <v>-1</v>
      </c>
      <c r="J56" s="7">
        <v>6.7</v>
      </c>
      <c r="K56" s="7">
        <v>0</v>
      </c>
      <c r="L56" s="7">
        <v>7.3</v>
      </c>
      <c r="M56" s="7">
        <v>56</v>
      </c>
      <c r="N56" s="2">
        <f t="shared" si="0"/>
        <v>42361</v>
      </c>
      <c r="O56" s="6">
        <v>2.1539435999999998</v>
      </c>
      <c r="P56" s="5">
        <v>7.2004343656353598</v>
      </c>
      <c r="Q56" s="5">
        <v>0.61258037214448502</v>
      </c>
      <c r="R56" s="5">
        <v>2.1067020107093701</v>
      </c>
    </row>
    <row r="57" spans="1:18" x14ac:dyDescent="0.4">
      <c r="A57" s="7">
        <v>50497</v>
      </c>
      <c r="B57" s="7">
        <v>219</v>
      </c>
      <c r="C57" s="7">
        <v>5</v>
      </c>
      <c r="D57" s="7">
        <v>65.5</v>
      </c>
      <c r="E57" s="7">
        <v>3.14</v>
      </c>
      <c r="F57" s="7" t="s">
        <v>22</v>
      </c>
      <c r="G57" s="7" t="s">
        <v>23</v>
      </c>
      <c r="H57" s="7">
        <v>0</v>
      </c>
      <c r="I57" s="7">
        <v>-1</v>
      </c>
      <c r="J57" s="7">
        <v>8.3000000000000007</v>
      </c>
      <c r="K57" s="7">
        <v>0</v>
      </c>
      <c r="L57" s="7">
        <v>8.3000000000000007</v>
      </c>
      <c r="M57" s="7">
        <v>55</v>
      </c>
      <c r="N57" s="2">
        <f t="shared" si="0"/>
        <v>42362</v>
      </c>
      <c r="O57" s="6">
        <v>2.05192934</v>
      </c>
      <c r="P57" s="5">
        <v>7.0135948144346196</v>
      </c>
      <c r="Q57" s="5">
        <v>0.603144379104251</v>
      </c>
      <c r="R57" s="5">
        <v>1.00608838139486</v>
      </c>
    </row>
    <row r="58" spans="1:18" x14ac:dyDescent="0.4">
      <c r="A58" s="7">
        <v>50498</v>
      </c>
      <c r="B58" s="7">
        <v>219</v>
      </c>
      <c r="C58" s="7">
        <v>5</v>
      </c>
      <c r="D58" s="7">
        <v>66.5</v>
      </c>
      <c r="E58" s="7">
        <v>1.04</v>
      </c>
      <c r="F58" s="7" t="s">
        <v>22</v>
      </c>
      <c r="G58" s="7" t="s">
        <v>23</v>
      </c>
      <c r="H58" s="7">
        <v>0</v>
      </c>
      <c r="I58" s="7">
        <v>-1</v>
      </c>
      <c r="J58" s="7">
        <v>7.8</v>
      </c>
      <c r="K58" s="7">
        <v>0</v>
      </c>
      <c r="L58" s="7">
        <v>7.7</v>
      </c>
      <c r="M58" s="7">
        <v>55</v>
      </c>
      <c r="N58" s="2">
        <f t="shared" si="0"/>
        <v>42363</v>
      </c>
      <c r="O58" s="6">
        <v>1.9630255599999999</v>
      </c>
      <c r="P58" s="5">
        <v>7.6181215025587203</v>
      </c>
      <c r="Q58" s="5">
        <v>0.59445993372723005</v>
      </c>
      <c r="R58" s="5">
        <v>1.27185825206905</v>
      </c>
    </row>
    <row r="59" spans="1:18" x14ac:dyDescent="0.4">
      <c r="A59" s="7">
        <v>50499</v>
      </c>
      <c r="B59" s="7">
        <v>219</v>
      </c>
      <c r="C59" s="7">
        <v>5</v>
      </c>
      <c r="D59" s="7">
        <v>67.5</v>
      </c>
      <c r="E59" s="7">
        <v>1.61</v>
      </c>
      <c r="F59" s="7" t="s">
        <v>22</v>
      </c>
      <c r="G59" s="7" t="s">
        <v>23</v>
      </c>
      <c r="H59" s="7">
        <v>0</v>
      </c>
      <c r="I59" s="7">
        <v>-1</v>
      </c>
      <c r="J59" s="7">
        <v>8.1</v>
      </c>
      <c r="K59" s="7">
        <v>0.5</v>
      </c>
      <c r="L59" s="7">
        <v>7.9</v>
      </c>
      <c r="M59" s="7">
        <v>54</v>
      </c>
      <c r="N59" s="2">
        <f t="shared" si="0"/>
        <v>42364</v>
      </c>
      <c r="O59" s="6">
        <v>1.8987290400000001</v>
      </c>
      <c r="P59" s="5">
        <v>7.9519925260720399</v>
      </c>
      <c r="Q59" s="5">
        <v>0.59441523502885896</v>
      </c>
      <c r="R59" s="5">
        <v>0.70800102251587504</v>
      </c>
    </row>
    <row r="60" spans="1:18" x14ac:dyDescent="0.4">
      <c r="A60" s="7">
        <v>50500</v>
      </c>
      <c r="B60" s="7">
        <v>219</v>
      </c>
      <c r="C60" s="7">
        <v>5</v>
      </c>
      <c r="D60" s="7">
        <v>68.5</v>
      </c>
      <c r="E60" s="7">
        <v>1.25</v>
      </c>
      <c r="F60" s="7" t="s">
        <v>22</v>
      </c>
      <c r="G60" s="7" t="s">
        <v>23</v>
      </c>
      <c r="H60" s="7">
        <v>0</v>
      </c>
      <c r="I60" s="7">
        <v>-1</v>
      </c>
      <c r="J60" s="7">
        <v>9.1999999999999993</v>
      </c>
      <c r="K60" s="7">
        <v>0</v>
      </c>
      <c r="L60" s="7">
        <v>9.1</v>
      </c>
      <c r="M60" s="7">
        <v>54</v>
      </c>
      <c r="N60" s="2">
        <f t="shared" si="0"/>
        <v>42365</v>
      </c>
      <c r="O60" s="6">
        <v>1.8820019800000001</v>
      </c>
      <c r="P60" s="5">
        <v>6.7201244695549098</v>
      </c>
      <c r="Q60" s="5">
        <v>0.59708176302373495</v>
      </c>
      <c r="R60" s="5">
        <v>1.1665055372922499</v>
      </c>
    </row>
    <row r="61" spans="1:18" x14ac:dyDescent="0.4">
      <c r="A61" s="7">
        <v>50501</v>
      </c>
      <c r="B61" s="7">
        <v>219</v>
      </c>
      <c r="C61" s="7">
        <v>5</v>
      </c>
      <c r="D61" s="7">
        <v>69.5</v>
      </c>
      <c r="E61" s="7">
        <v>2.08</v>
      </c>
      <c r="F61" s="7" t="s">
        <v>22</v>
      </c>
      <c r="G61" s="7" t="s">
        <v>23</v>
      </c>
      <c r="H61" s="7">
        <v>0</v>
      </c>
      <c r="I61" s="7">
        <v>-1</v>
      </c>
      <c r="J61" s="7">
        <v>9.6</v>
      </c>
      <c r="K61" s="7">
        <v>0</v>
      </c>
      <c r="L61" s="7">
        <v>9.5</v>
      </c>
      <c r="M61" s="7">
        <v>53</v>
      </c>
      <c r="N61" s="2">
        <f t="shared" si="0"/>
        <v>42366</v>
      </c>
      <c r="O61" s="6">
        <v>1.85933214</v>
      </c>
      <c r="P61" s="5">
        <v>5.8500647107783701</v>
      </c>
      <c r="Q61" s="5">
        <v>0.59379991151939204</v>
      </c>
      <c r="R61" s="5">
        <v>1.59118723132219</v>
      </c>
    </row>
    <row r="62" spans="1:18" x14ac:dyDescent="0.4">
      <c r="A62" s="7">
        <v>50502</v>
      </c>
      <c r="B62" s="7">
        <v>219</v>
      </c>
      <c r="C62" s="7">
        <v>5</v>
      </c>
      <c r="D62" s="7">
        <v>70.5</v>
      </c>
      <c r="E62" s="7">
        <v>1.32</v>
      </c>
      <c r="F62" s="7" t="s">
        <v>22</v>
      </c>
      <c r="G62" s="7" t="s">
        <v>23</v>
      </c>
      <c r="H62" s="7">
        <v>0</v>
      </c>
      <c r="I62" s="7">
        <v>-1</v>
      </c>
      <c r="J62" s="7">
        <v>10.5</v>
      </c>
      <c r="K62" s="7">
        <v>0</v>
      </c>
      <c r="L62" s="7">
        <v>11.2</v>
      </c>
      <c r="M62" s="7">
        <v>53</v>
      </c>
      <c r="N62" s="2">
        <f t="shared" si="0"/>
        <v>42367</v>
      </c>
      <c r="O62" s="6">
        <v>1.84521578</v>
      </c>
      <c r="P62" s="5">
        <v>5.1993000528817204</v>
      </c>
      <c r="Q62" s="5">
        <v>0.59187600934614804</v>
      </c>
      <c r="R62" s="5">
        <v>1.5964287942351101</v>
      </c>
    </row>
    <row r="63" spans="1:18" x14ac:dyDescent="0.4">
      <c r="A63" s="7">
        <v>50503</v>
      </c>
      <c r="B63" s="7">
        <v>219</v>
      </c>
      <c r="C63" s="7">
        <v>5</v>
      </c>
      <c r="D63" s="7">
        <v>71.5</v>
      </c>
      <c r="E63" s="7">
        <v>0.97</v>
      </c>
      <c r="F63" s="7" t="s">
        <v>22</v>
      </c>
      <c r="G63" s="7" t="s">
        <v>23</v>
      </c>
      <c r="H63" s="7">
        <v>0</v>
      </c>
      <c r="I63" s="7">
        <v>-1</v>
      </c>
      <c r="J63" s="7">
        <v>6.4</v>
      </c>
      <c r="K63" s="7">
        <v>0</v>
      </c>
      <c r="L63" s="7">
        <v>7.7</v>
      </c>
      <c r="M63" s="7">
        <v>57</v>
      </c>
      <c r="N63" s="2">
        <f t="shared" si="0"/>
        <v>42368</v>
      </c>
      <c r="O63" s="6">
        <v>1.7861537999999999</v>
      </c>
      <c r="P63" s="5">
        <v>5.6857752060702298</v>
      </c>
      <c r="Q63" s="5">
        <v>0.56169829055971399</v>
      </c>
      <c r="R63" s="5">
        <v>1.5554502415002001</v>
      </c>
    </row>
    <row r="64" spans="1:18" x14ac:dyDescent="0.4">
      <c r="A64" s="7">
        <v>50504</v>
      </c>
      <c r="B64" s="7">
        <v>219</v>
      </c>
      <c r="C64" s="7">
        <v>5</v>
      </c>
      <c r="D64" s="7">
        <v>72.5</v>
      </c>
      <c r="E64" s="7">
        <v>1.78</v>
      </c>
      <c r="F64" s="7" t="s">
        <v>22</v>
      </c>
      <c r="G64" s="7" t="s">
        <v>23</v>
      </c>
      <c r="H64" s="7">
        <v>0</v>
      </c>
      <c r="I64" s="7">
        <v>-1</v>
      </c>
      <c r="J64" s="7">
        <v>9.9</v>
      </c>
      <c r="K64" s="7">
        <v>0</v>
      </c>
      <c r="L64" s="7">
        <v>10.1</v>
      </c>
      <c r="M64" s="7">
        <v>56</v>
      </c>
      <c r="N64" s="2">
        <f t="shared" si="0"/>
        <v>42369</v>
      </c>
      <c r="O64" s="6">
        <v>1.7777489799999999</v>
      </c>
      <c r="P64" s="5">
        <v>5.4502362347430804</v>
      </c>
      <c r="Q64" s="5">
        <v>0.56710457464256703</v>
      </c>
      <c r="R64" s="5">
        <v>2.0608928024103301</v>
      </c>
    </row>
    <row r="65" spans="1:18" x14ac:dyDescent="0.4">
      <c r="A65" s="7">
        <v>50505</v>
      </c>
      <c r="B65" s="7">
        <v>219</v>
      </c>
      <c r="C65" s="7">
        <v>5</v>
      </c>
      <c r="D65" s="7">
        <v>73.5</v>
      </c>
      <c r="E65" s="7">
        <v>1.02</v>
      </c>
      <c r="F65" s="7" t="s">
        <v>22</v>
      </c>
      <c r="G65" s="7" t="s">
        <v>23</v>
      </c>
      <c r="H65" s="7">
        <v>0</v>
      </c>
      <c r="I65" s="7">
        <v>-1</v>
      </c>
      <c r="J65" s="7">
        <v>6.8</v>
      </c>
      <c r="K65" s="7">
        <v>1</v>
      </c>
      <c r="L65" s="7">
        <v>8.3000000000000007</v>
      </c>
      <c r="M65" s="7">
        <v>60</v>
      </c>
      <c r="N65" s="2">
        <f t="shared" si="0"/>
        <v>42370</v>
      </c>
      <c r="O65" s="6">
        <v>1.7994779999999999</v>
      </c>
      <c r="P65" s="5">
        <v>5.8072337347337397</v>
      </c>
      <c r="Q65" s="5">
        <v>0.57915630344438096</v>
      </c>
      <c r="R65" s="5">
        <v>1.0293221304906599</v>
      </c>
    </row>
    <row r="66" spans="1:18" x14ac:dyDescent="0.4">
      <c r="A66" s="7">
        <v>50506</v>
      </c>
      <c r="B66" s="7">
        <v>219</v>
      </c>
      <c r="C66" s="7">
        <v>5</v>
      </c>
      <c r="D66" s="7">
        <v>74.5</v>
      </c>
      <c r="E66" s="7">
        <v>0.84</v>
      </c>
      <c r="F66" s="7" t="s">
        <v>22</v>
      </c>
      <c r="G66" s="7" t="s">
        <v>23</v>
      </c>
      <c r="H66" s="7">
        <v>0</v>
      </c>
      <c r="I66" s="7">
        <v>-1</v>
      </c>
      <c r="J66" s="7">
        <v>10.4</v>
      </c>
      <c r="K66" s="7">
        <v>3</v>
      </c>
      <c r="L66" s="7">
        <v>10.8</v>
      </c>
      <c r="M66" s="7">
        <v>62</v>
      </c>
      <c r="N66" s="2">
        <f t="shared" si="0"/>
        <v>42371</v>
      </c>
      <c r="O66" s="6">
        <v>1.9477283000000001</v>
      </c>
      <c r="P66" s="5">
        <v>6.0562667269705699</v>
      </c>
      <c r="Q66" s="5">
        <v>0.66951445557189804</v>
      </c>
      <c r="R66" s="5">
        <v>1.63023561567696</v>
      </c>
    </row>
    <row r="67" spans="1:18" x14ac:dyDescent="0.4">
      <c r="A67" s="7">
        <v>50507</v>
      </c>
      <c r="B67" s="7">
        <v>219</v>
      </c>
      <c r="C67" s="7">
        <v>5</v>
      </c>
      <c r="D67" s="7">
        <v>75.5</v>
      </c>
      <c r="E67" s="7">
        <v>1.1299999999999999</v>
      </c>
      <c r="F67" s="7" t="s">
        <v>22</v>
      </c>
      <c r="G67" s="7" t="s">
        <v>23</v>
      </c>
      <c r="H67" s="7">
        <v>0</v>
      </c>
      <c r="I67" s="7">
        <v>-1</v>
      </c>
      <c r="J67" s="7">
        <v>6</v>
      </c>
      <c r="K67" s="7">
        <v>0</v>
      </c>
      <c r="L67" s="7">
        <v>7.5</v>
      </c>
      <c r="M67" s="7">
        <v>65</v>
      </c>
      <c r="N67" s="2">
        <f t="shared" si="0"/>
        <v>42372</v>
      </c>
      <c r="O67" s="6">
        <v>2.12129426</v>
      </c>
      <c r="P67" s="5">
        <v>5.8582537874429299</v>
      </c>
      <c r="Q67" s="5">
        <v>0.63720731016697196</v>
      </c>
      <c r="R67" s="5">
        <v>1.69460417308762</v>
      </c>
    </row>
    <row r="68" spans="1:18" x14ac:dyDescent="0.4">
      <c r="A68" s="7">
        <v>50508</v>
      </c>
      <c r="B68" s="7">
        <v>219</v>
      </c>
      <c r="C68" s="7">
        <v>5</v>
      </c>
      <c r="D68" s="7">
        <v>76.5</v>
      </c>
      <c r="E68" s="7">
        <v>2.6</v>
      </c>
      <c r="F68" s="7" t="s">
        <v>22</v>
      </c>
      <c r="G68" s="7" t="s">
        <v>23</v>
      </c>
      <c r="H68" s="7">
        <v>0</v>
      </c>
      <c r="I68" s="7">
        <v>-1</v>
      </c>
      <c r="J68" s="7">
        <v>10.9</v>
      </c>
      <c r="K68" s="7">
        <v>0</v>
      </c>
      <c r="L68" s="7">
        <v>9.4</v>
      </c>
      <c r="M68" s="7">
        <v>78</v>
      </c>
      <c r="N68" s="2">
        <f t="shared" ref="N68:N131" si="1">N67+D68-D67</f>
        <v>42373</v>
      </c>
      <c r="O68" s="6">
        <v>2.4219980400000001</v>
      </c>
      <c r="P68" s="5">
        <v>10.487476553012799</v>
      </c>
      <c r="Q68" s="5">
        <v>0.70415945729339102</v>
      </c>
      <c r="R68" s="5">
        <v>1.97738550474054</v>
      </c>
    </row>
    <row r="69" spans="1:18" x14ac:dyDescent="0.4">
      <c r="A69" s="7">
        <v>50509</v>
      </c>
      <c r="B69" s="7">
        <v>219</v>
      </c>
      <c r="C69" s="7">
        <v>5</v>
      </c>
      <c r="D69" s="7">
        <v>77.5</v>
      </c>
      <c r="E69" s="7">
        <v>4.07</v>
      </c>
      <c r="F69" s="7" t="s">
        <v>22</v>
      </c>
      <c r="G69" s="7" t="s">
        <v>23</v>
      </c>
      <c r="H69" s="7">
        <v>0</v>
      </c>
      <c r="I69" s="7">
        <v>-1</v>
      </c>
      <c r="J69" s="7">
        <v>9.1999999999999993</v>
      </c>
      <c r="K69" s="7">
        <v>7.8</v>
      </c>
      <c r="L69" s="7">
        <v>9.8000000000000007</v>
      </c>
      <c r="M69" s="7">
        <v>79</v>
      </c>
      <c r="N69" s="2">
        <f t="shared" si="1"/>
        <v>42374</v>
      </c>
      <c r="O69" s="6">
        <v>2.5561725200000001</v>
      </c>
      <c r="P69" s="5">
        <v>9.9746895251106604</v>
      </c>
      <c r="Q69" s="5">
        <v>1.0090979983385899</v>
      </c>
      <c r="R69" s="5">
        <v>1.26883129720025</v>
      </c>
    </row>
    <row r="70" spans="1:18" x14ac:dyDescent="0.4">
      <c r="A70" s="7">
        <v>50510</v>
      </c>
      <c r="B70" s="7">
        <v>219</v>
      </c>
      <c r="C70" s="7">
        <v>5</v>
      </c>
      <c r="D70" s="7">
        <v>78.5</v>
      </c>
      <c r="E70" s="7">
        <v>2.13</v>
      </c>
      <c r="F70" s="7" t="s">
        <v>22</v>
      </c>
      <c r="G70" s="7" t="s">
        <v>23</v>
      </c>
      <c r="H70" s="7">
        <v>0</v>
      </c>
      <c r="I70" s="7">
        <v>-1</v>
      </c>
      <c r="J70" s="7">
        <v>6.8</v>
      </c>
      <c r="K70" s="7">
        <v>16.3</v>
      </c>
      <c r="L70" s="7">
        <v>7.5</v>
      </c>
      <c r="M70" s="7">
        <v>71</v>
      </c>
      <c r="N70" s="2">
        <f t="shared" si="1"/>
        <v>42375</v>
      </c>
      <c r="O70" s="6">
        <v>2.2458304999999998</v>
      </c>
      <c r="P70" s="5">
        <v>10.493424162701301</v>
      </c>
      <c r="Q70" s="5">
        <v>1.0668250925898399</v>
      </c>
      <c r="R70" s="5">
        <v>1.30675522576126</v>
      </c>
    </row>
    <row r="71" spans="1:18" x14ac:dyDescent="0.4">
      <c r="A71" s="7">
        <v>50511</v>
      </c>
      <c r="B71" s="7">
        <v>219</v>
      </c>
      <c r="C71" s="7">
        <v>5</v>
      </c>
      <c r="D71" s="7">
        <v>79.5</v>
      </c>
      <c r="E71" s="7">
        <v>4.58</v>
      </c>
      <c r="F71" s="7" t="s">
        <v>22</v>
      </c>
      <c r="G71" s="7" t="s">
        <v>23</v>
      </c>
      <c r="H71" s="7">
        <v>0</v>
      </c>
      <c r="I71" s="7">
        <v>-1</v>
      </c>
      <c r="J71" s="7">
        <v>6.6</v>
      </c>
      <c r="K71" s="7">
        <v>0</v>
      </c>
      <c r="L71" s="7">
        <v>7.4</v>
      </c>
      <c r="M71" s="7">
        <v>81</v>
      </c>
      <c r="N71" s="2">
        <f t="shared" si="1"/>
        <v>42376</v>
      </c>
      <c r="O71" s="6">
        <v>3.3771959599999999</v>
      </c>
      <c r="P71" s="5">
        <v>10.087362002476199</v>
      </c>
      <c r="Q71" s="5">
        <v>1.14000528760669</v>
      </c>
      <c r="R71" s="5">
        <v>1.49904365694061</v>
      </c>
    </row>
    <row r="72" spans="1:18" x14ac:dyDescent="0.4">
      <c r="A72" s="7">
        <v>50512</v>
      </c>
      <c r="B72" s="7">
        <v>219</v>
      </c>
      <c r="C72" s="7">
        <v>5</v>
      </c>
      <c r="D72" s="7">
        <v>80.5</v>
      </c>
      <c r="E72" s="7">
        <v>6.79</v>
      </c>
      <c r="F72" s="7" t="s">
        <v>22</v>
      </c>
      <c r="G72" s="7" t="s">
        <v>23</v>
      </c>
      <c r="H72" s="7">
        <v>0</v>
      </c>
      <c r="I72" s="7">
        <v>-1</v>
      </c>
      <c r="J72" s="7">
        <v>10.7</v>
      </c>
      <c r="K72" s="7">
        <v>4</v>
      </c>
      <c r="L72" s="7">
        <v>11.1</v>
      </c>
      <c r="M72" s="7">
        <v>80</v>
      </c>
      <c r="N72" s="2">
        <f t="shared" si="1"/>
        <v>42377</v>
      </c>
      <c r="O72" s="6">
        <v>5.1095838200000001</v>
      </c>
      <c r="P72" s="5">
        <v>10.7176481208302</v>
      </c>
      <c r="Q72" s="5">
        <v>2.1884852975301601</v>
      </c>
      <c r="R72" s="5">
        <v>1.4520552417926</v>
      </c>
    </row>
    <row r="73" spans="1:18" x14ac:dyDescent="0.4">
      <c r="A73" s="7">
        <v>50513</v>
      </c>
      <c r="B73" s="7">
        <v>219</v>
      </c>
      <c r="C73" s="7">
        <v>5</v>
      </c>
      <c r="D73" s="7">
        <v>81.5</v>
      </c>
      <c r="E73" s="7">
        <v>10.34</v>
      </c>
      <c r="F73" s="7" t="s">
        <v>22</v>
      </c>
      <c r="G73" s="7" t="s">
        <v>23</v>
      </c>
      <c r="H73" s="7">
        <v>0</v>
      </c>
      <c r="I73" s="7">
        <v>-1</v>
      </c>
      <c r="J73" s="7">
        <v>11.1</v>
      </c>
      <c r="K73" s="7">
        <v>0</v>
      </c>
      <c r="L73" s="7">
        <v>11.3</v>
      </c>
      <c r="M73" s="7">
        <v>80</v>
      </c>
      <c r="N73" s="2">
        <f t="shared" si="1"/>
        <v>42378</v>
      </c>
      <c r="O73" s="6">
        <v>7.8653370200000001</v>
      </c>
      <c r="P73" s="5">
        <v>10.507041828467001</v>
      </c>
      <c r="Q73" s="5">
        <v>4.2018385368303903</v>
      </c>
      <c r="R73" s="5">
        <v>2.0333628177691101</v>
      </c>
    </row>
    <row r="74" spans="1:18" x14ac:dyDescent="0.4">
      <c r="A74" s="7">
        <v>50514</v>
      </c>
      <c r="B74" s="7">
        <v>219</v>
      </c>
      <c r="C74" s="7">
        <v>5</v>
      </c>
      <c r="D74" s="7">
        <v>82.5</v>
      </c>
      <c r="E74" s="7">
        <v>17.34</v>
      </c>
      <c r="F74" s="7" t="s">
        <v>22</v>
      </c>
      <c r="G74" s="7" t="s">
        <v>23</v>
      </c>
      <c r="H74" s="7">
        <v>0</v>
      </c>
      <c r="I74" s="7">
        <v>-1</v>
      </c>
      <c r="J74" s="7">
        <v>9.6999999999999993</v>
      </c>
      <c r="K74" s="7">
        <v>0</v>
      </c>
      <c r="L74" s="7">
        <v>10.5</v>
      </c>
      <c r="M74" s="7">
        <v>78</v>
      </c>
      <c r="N74" s="2">
        <f t="shared" si="1"/>
        <v>42379</v>
      </c>
      <c r="O74" s="6">
        <v>9.7320830199999993</v>
      </c>
      <c r="P74" s="5">
        <v>11.241204270189399</v>
      </c>
      <c r="Q74" s="5">
        <v>7.0359285324401002</v>
      </c>
      <c r="R74" s="5">
        <v>1.8825216611861999</v>
      </c>
    </row>
    <row r="75" spans="1:18" x14ac:dyDescent="0.4">
      <c r="A75" s="7">
        <v>50515</v>
      </c>
      <c r="B75" s="7">
        <v>219</v>
      </c>
      <c r="C75" s="7">
        <v>5</v>
      </c>
      <c r="D75" s="7">
        <v>83.5</v>
      </c>
      <c r="E75" s="7">
        <v>10.29</v>
      </c>
      <c r="F75" s="7" t="s">
        <v>22</v>
      </c>
      <c r="G75" s="7" t="s">
        <v>23</v>
      </c>
      <c r="H75" s="7">
        <v>0</v>
      </c>
      <c r="I75" s="7">
        <v>-1</v>
      </c>
      <c r="J75" s="7">
        <v>10.5</v>
      </c>
      <c r="K75" s="7">
        <v>2.6</v>
      </c>
      <c r="L75" s="7">
        <v>10.199999999999999</v>
      </c>
      <c r="M75" s="7">
        <v>80</v>
      </c>
      <c r="N75" s="2">
        <f t="shared" si="1"/>
        <v>42380</v>
      </c>
      <c r="O75" s="6">
        <v>10.96823318</v>
      </c>
      <c r="P75" s="5">
        <v>11.2232176541998</v>
      </c>
      <c r="Q75" s="5">
        <v>8.8173082681808896</v>
      </c>
      <c r="R75" s="5">
        <v>1.7981186016733901</v>
      </c>
    </row>
    <row r="76" spans="1:18" x14ac:dyDescent="0.4">
      <c r="A76" s="7">
        <v>50516</v>
      </c>
      <c r="B76" s="7">
        <v>219</v>
      </c>
      <c r="C76" s="7">
        <v>5</v>
      </c>
      <c r="D76" s="7">
        <v>85.5</v>
      </c>
      <c r="E76" s="7">
        <v>16.420000000000002</v>
      </c>
      <c r="F76" s="7" t="s">
        <v>22</v>
      </c>
      <c r="G76" s="7" t="s">
        <v>23</v>
      </c>
      <c r="H76" s="7">
        <v>0</v>
      </c>
      <c r="I76" s="7">
        <v>-1</v>
      </c>
      <c r="J76" s="7">
        <v>5.6</v>
      </c>
      <c r="K76" s="7">
        <v>10</v>
      </c>
      <c r="L76" s="7">
        <v>7.6</v>
      </c>
      <c r="M76" s="7">
        <v>81</v>
      </c>
      <c r="N76" s="2">
        <f t="shared" si="1"/>
        <v>42382</v>
      </c>
      <c r="O76" s="6">
        <v>10.550336440000001</v>
      </c>
      <c r="P76" s="5">
        <v>10.5472137634109</v>
      </c>
      <c r="Q76" s="5">
        <v>8.9981066485302392</v>
      </c>
      <c r="R76" s="5">
        <v>2.07317122646832</v>
      </c>
    </row>
    <row r="77" spans="1:18" x14ac:dyDescent="0.4">
      <c r="A77" s="7">
        <v>50517</v>
      </c>
      <c r="B77" s="7">
        <v>219</v>
      </c>
      <c r="C77" s="7">
        <v>5</v>
      </c>
      <c r="D77" s="7">
        <v>86.5</v>
      </c>
      <c r="E77" s="7">
        <v>15.71</v>
      </c>
      <c r="F77" s="7" t="s">
        <v>22</v>
      </c>
      <c r="G77" s="7" t="s">
        <v>23</v>
      </c>
      <c r="H77" s="7">
        <v>0</v>
      </c>
      <c r="I77" s="7">
        <v>-1</v>
      </c>
      <c r="J77" s="7">
        <v>5.5</v>
      </c>
      <c r="K77" s="7">
        <v>0</v>
      </c>
      <c r="L77" s="7">
        <v>6.9</v>
      </c>
      <c r="M77" s="7">
        <v>76</v>
      </c>
      <c r="N77" s="2">
        <f t="shared" si="1"/>
        <v>42383</v>
      </c>
      <c r="O77" s="6">
        <v>12.13834054</v>
      </c>
      <c r="P77" s="5">
        <v>12.398428895919199</v>
      </c>
      <c r="Q77" s="5">
        <v>8.7586394377560701</v>
      </c>
      <c r="R77" s="5">
        <v>2.7568242908889702</v>
      </c>
    </row>
    <row r="78" spans="1:18" x14ac:dyDescent="0.4">
      <c r="A78" s="7">
        <v>50518</v>
      </c>
      <c r="B78" s="7">
        <v>219</v>
      </c>
      <c r="C78" s="7">
        <v>5</v>
      </c>
      <c r="D78" s="7">
        <v>87.5</v>
      </c>
      <c r="E78" s="7">
        <v>17.64</v>
      </c>
      <c r="F78" s="7" t="s">
        <v>22</v>
      </c>
      <c r="G78" s="7" t="s">
        <v>23</v>
      </c>
      <c r="H78" s="7">
        <v>0</v>
      </c>
      <c r="I78" s="7">
        <v>-1</v>
      </c>
      <c r="J78" s="7">
        <v>5.8</v>
      </c>
      <c r="K78" s="7">
        <v>4</v>
      </c>
      <c r="L78" s="7">
        <v>7.7</v>
      </c>
      <c r="M78" s="7">
        <v>80</v>
      </c>
      <c r="N78" s="2">
        <f t="shared" si="1"/>
        <v>42384</v>
      </c>
      <c r="O78" s="6">
        <v>12.262606099999999</v>
      </c>
      <c r="P78" s="5">
        <v>10.8924440665318</v>
      </c>
      <c r="Q78" s="5">
        <v>8.1715222558827794</v>
      </c>
      <c r="R78" s="5">
        <v>2.04687738883784</v>
      </c>
    </row>
    <row r="79" spans="1:18" x14ac:dyDescent="0.4">
      <c r="A79" s="7">
        <v>50519</v>
      </c>
      <c r="B79" s="7">
        <v>219</v>
      </c>
      <c r="C79" s="7">
        <v>5</v>
      </c>
      <c r="D79" s="7">
        <v>88.5</v>
      </c>
      <c r="E79" s="7">
        <v>31.23</v>
      </c>
      <c r="F79" s="7" t="s">
        <v>22</v>
      </c>
      <c r="G79" s="7" t="s">
        <v>23</v>
      </c>
      <c r="H79" s="7">
        <v>0</v>
      </c>
      <c r="I79" s="7">
        <v>-1</v>
      </c>
      <c r="J79" s="7">
        <v>2.1</v>
      </c>
      <c r="K79" s="7">
        <v>0</v>
      </c>
      <c r="L79" s="7">
        <v>4.7</v>
      </c>
      <c r="M79" s="7">
        <v>78</v>
      </c>
      <c r="N79" s="2">
        <f t="shared" si="1"/>
        <v>42385</v>
      </c>
      <c r="O79" s="6">
        <v>13.722168699999999</v>
      </c>
      <c r="P79" s="5">
        <v>17.383392520539498</v>
      </c>
      <c r="Q79" s="5">
        <v>7.52610877161076</v>
      </c>
      <c r="R79" s="5">
        <v>6.1450922160441799</v>
      </c>
    </row>
    <row r="80" spans="1:18" x14ac:dyDescent="0.4">
      <c r="A80" s="7">
        <v>50520</v>
      </c>
      <c r="B80" s="7">
        <v>219</v>
      </c>
      <c r="C80" s="7">
        <v>5</v>
      </c>
      <c r="D80" s="7">
        <v>89.5</v>
      </c>
      <c r="E80" s="7">
        <v>24.84</v>
      </c>
      <c r="F80" s="7" t="s">
        <v>22</v>
      </c>
      <c r="G80" s="7" t="s">
        <v>23</v>
      </c>
      <c r="H80" s="7">
        <v>0</v>
      </c>
      <c r="I80" s="7">
        <v>-1</v>
      </c>
      <c r="J80" s="7">
        <v>2.8</v>
      </c>
      <c r="K80" s="7">
        <v>0</v>
      </c>
      <c r="L80" s="7">
        <v>3.9</v>
      </c>
      <c r="M80" s="7">
        <v>75</v>
      </c>
      <c r="N80" s="2">
        <f t="shared" si="1"/>
        <v>42386</v>
      </c>
      <c r="O80" s="6">
        <v>14.58826554</v>
      </c>
      <c r="P80" s="5">
        <v>17.841771286236199</v>
      </c>
      <c r="Q80" s="5">
        <v>7.2375257824249699</v>
      </c>
      <c r="R80" s="5">
        <v>6.6409691670026598</v>
      </c>
    </row>
    <row r="81" spans="1:18" x14ac:dyDescent="0.4">
      <c r="A81" s="7">
        <v>50521</v>
      </c>
      <c r="B81" s="7">
        <v>219</v>
      </c>
      <c r="C81" s="7">
        <v>5</v>
      </c>
      <c r="D81" s="7">
        <v>90.5</v>
      </c>
      <c r="E81" s="7">
        <v>23.06</v>
      </c>
      <c r="F81" s="7" t="s">
        <v>22</v>
      </c>
      <c r="G81" s="7" t="s">
        <v>23</v>
      </c>
      <c r="H81" s="7">
        <v>0</v>
      </c>
      <c r="I81" s="7">
        <v>-1</v>
      </c>
      <c r="J81" s="7">
        <v>3.5</v>
      </c>
      <c r="K81" s="7">
        <v>0</v>
      </c>
      <c r="L81" s="7">
        <v>5</v>
      </c>
      <c r="M81" s="7">
        <v>73</v>
      </c>
      <c r="N81" s="2">
        <f t="shared" si="1"/>
        <v>42387</v>
      </c>
      <c r="O81" s="6">
        <v>14.42540528</v>
      </c>
      <c r="P81" s="5">
        <v>18.411724455031401</v>
      </c>
      <c r="Q81" s="5">
        <v>6.9158011607457501</v>
      </c>
      <c r="R81" s="5">
        <v>4.9643260254410899</v>
      </c>
    </row>
    <row r="82" spans="1:18" x14ac:dyDescent="0.4">
      <c r="A82" s="7">
        <v>50522</v>
      </c>
      <c r="B82" s="7">
        <v>219</v>
      </c>
      <c r="C82" s="7">
        <v>5</v>
      </c>
      <c r="D82" s="7">
        <v>91.5</v>
      </c>
      <c r="E82" s="7">
        <v>15.58</v>
      </c>
      <c r="F82" s="7" t="s">
        <v>22</v>
      </c>
      <c r="G82" s="7" t="s">
        <v>23</v>
      </c>
      <c r="H82" s="7">
        <v>0</v>
      </c>
      <c r="I82" s="7">
        <v>-1</v>
      </c>
      <c r="J82" s="7">
        <v>6.1</v>
      </c>
      <c r="K82" s="7">
        <v>6</v>
      </c>
      <c r="L82" s="7">
        <v>5.9</v>
      </c>
      <c r="M82" s="7">
        <v>81</v>
      </c>
      <c r="N82" s="2">
        <f t="shared" si="1"/>
        <v>42388</v>
      </c>
      <c r="O82" s="6">
        <v>10.671638400000001</v>
      </c>
      <c r="P82" s="5">
        <v>11.2304802042828</v>
      </c>
      <c r="Q82" s="5">
        <v>4.5173177613013102</v>
      </c>
      <c r="R82" s="5">
        <v>2.7054654979253399</v>
      </c>
    </row>
    <row r="83" spans="1:18" x14ac:dyDescent="0.4">
      <c r="A83" s="7">
        <v>50523</v>
      </c>
      <c r="B83" s="7">
        <v>219</v>
      </c>
      <c r="C83" s="7">
        <v>5</v>
      </c>
      <c r="D83" s="7">
        <v>92.5</v>
      </c>
      <c r="E83" s="7">
        <v>14.12</v>
      </c>
      <c r="F83" s="7" t="s">
        <v>22</v>
      </c>
      <c r="G83" s="7" t="s">
        <v>23</v>
      </c>
      <c r="H83" s="7">
        <v>0</v>
      </c>
      <c r="I83" s="7">
        <v>-1</v>
      </c>
      <c r="J83" s="7">
        <v>5.8</v>
      </c>
      <c r="K83" s="7">
        <v>0</v>
      </c>
      <c r="L83" s="7">
        <v>6.4</v>
      </c>
      <c r="M83" s="7">
        <v>79</v>
      </c>
      <c r="N83" s="2">
        <f t="shared" si="1"/>
        <v>42389</v>
      </c>
      <c r="O83" s="6">
        <v>10.9317911</v>
      </c>
      <c r="P83" s="5">
        <v>11.2919657130698</v>
      </c>
      <c r="Q83" s="5">
        <v>4.3302826116775304</v>
      </c>
      <c r="R83" s="5">
        <v>2.0532328449645401</v>
      </c>
    </row>
    <row r="84" spans="1:18" x14ac:dyDescent="0.4">
      <c r="A84" s="7">
        <v>50524</v>
      </c>
      <c r="B84" s="7">
        <v>219</v>
      </c>
      <c r="C84" s="7">
        <v>5</v>
      </c>
      <c r="D84" s="7">
        <v>93.5</v>
      </c>
      <c r="E84" s="7">
        <v>19.02</v>
      </c>
      <c r="F84" s="7" t="s">
        <v>22</v>
      </c>
      <c r="G84" s="7" t="s">
        <v>23</v>
      </c>
      <c r="H84" s="7">
        <v>0</v>
      </c>
      <c r="I84" s="7">
        <v>-1</v>
      </c>
      <c r="J84" s="7">
        <v>3.4</v>
      </c>
      <c r="K84" s="7">
        <v>0</v>
      </c>
      <c r="L84" s="7">
        <v>4.5999999999999996</v>
      </c>
      <c r="M84" s="7">
        <v>76</v>
      </c>
      <c r="N84" s="2">
        <f t="shared" si="1"/>
        <v>42390</v>
      </c>
      <c r="O84" s="6">
        <v>10.95275356</v>
      </c>
      <c r="P84" s="5">
        <v>18.405174647859599</v>
      </c>
      <c r="Q84" s="5">
        <v>4.2648237862577396</v>
      </c>
      <c r="R84" s="5">
        <v>6.3522699920327899</v>
      </c>
    </row>
    <row r="85" spans="1:18" x14ac:dyDescent="0.4">
      <c r="A85" s="7">
        <v>50525</v>
      </c>
      <c r="B85" s="7">
        <v>219</v>
      </c>
      <c r="C85" s="7">
        <v>5</v>
      </c>
      <c r="D85" s="7">
        <v>94.5</v>
      </c>
      <c r="E85" s="7">
        <v>11.63</v>
      </c>
      <c r="F85" s="7" t="s">
        <v>22</v>
      </c>
      <c r="G85" s="7" t="s">
        <v>23</v>
      </c>
      <c r="H85" s="7">
        <v>40</v>
      </c>
      <c r="I85" s="7">
        <v>1</v>
      </c>
      <c r="J85" s="7">
        <v>2.9</v>
      </c>
      <c r="K85" s="7">
        <v>0</v>
      </c>
      <c r="L85" s="7">
        <v>4.4000000000000004</v>
      </c>
      <c r="M85" s="7">
        <v>74</v>
      </c>
      <c r="N85" s="2">
        <f t="shared" si="1"/>
        <v>42391</v>
      </c>
      <c r="O85" s="6">
        <v>12.435911000000001</v>
      </c>
      <c r="P85" s="5">
        <v>17.447740894147302</v>
      </c>
      <c r="Q85" s="5">
        <v>4.5775280010113004</v>
      </c>
      <c r="R85" s="5">
        <v>6.0415812808045999</v>
      </c>
    </row>
    <row r="86" spans="1:18" x14ac:dyDescent="0.4">
      <c r="A86" s="7">
        <v>50526</v>
      </c>
      <c r="B86" s="7">
        <v>219</v>
      </c>
      <c r="C86" s="7">
        <v>5</v>
      </c>
      <c r="D86" s="7">
        <v>95.5</v>
      </c>
      <c r="E86" s="7">
        <v>22.1</v>
      </c>
      <c r="F86" s="7" t="s">
        <v>22</v>
      </c>
      <c r="G86" s="7" t="s">
        <v>23</v>
      </c>
      <c r="H86" s="7">
        <v>40</v>
      </c>
      <c r="I86" s="7">
        <v>2</v>
      </c>
      <c r="J86" s="7">
        <v>10.7</v>
      </c>
      <c r="K86" s="7">
        <v>1.9</v>
      </c>
      <c r="L86" s="7">
        <v>8.6</v>
      </c>
      <c r="M86" s="7">
        <v>81</v>
      </c>
      <c r="N86" s="2">
        <f t="shared" si="1"/>
        <v>42392</v>
      </c>
      <c r="O86" s="6">
        <v>16.303387799999999</v>
      </c>
      <c r="P86" s="5">
        <v>11.726173764354501</v>
      </c>
      <c r="Q86" s="5">
        <v>5.9045499283249097</v>
      </c>
      <c r="R86" s="5">
        <v>1.81606649911905</v>
      </c>
    </row>
    <row r="87" spans="1:18" x14ac:dyDescent="0.4">
      <c r="A87" s="7">
        <v>50527</v>
      </c>
      <c r="B87" s="7">
        <v>219</v>
      </c>
      <c r="C87" s="7">
        <v>5</v>
      </c>
      <c r="D87" s="7">
        <v>96.5</v>
      </c>
      <c r="E87" s="7">
        <v>28.33</v>
      </c>
      <c r="F87" s="7" t="s">
        <v>22</v>
      </c>
      <c r="G87" s="7" t="s">
        <v>23</v>
      </c>
      <c r="H87" s="7">
        <v>40</v>
      </c>
      <c r="I87" s="7">
        <v>3</v>
      </c>
      <c r="J87" s="7">
        <v>5.8</v>
      </c>
      <c r="K87" s="7">
        <v>0</v>
      </c>
      <c r="L87" s="7">
        <v>8</v>
      </c>
      <c r="M87" s="7">
        <v>75</v>
      </c>
      <c r="N87" s="2">
        <f t="shared" si="1"/>
        <v>42393</v>
      </c>
      <c r="O87" s="6">
        <v>19.041826</v>
      </c>
      <c r="P87" s="5">
        <v>12.8857750902025</v>
      </c>
      <c r="Q87" s="5">
        <v>7.1139990946414899</v>
      </c>
      <c r="R87" s="5">
        <v>2.5994814689878698</v>
      </c>
    </row>
    <row r="88" spans="1:18" x14ac:dyDescent="0.4">
      <c r="A88" s="7">
        <v>50528</v>
      </c>
      <c r="B88" s="7">
        <v>219</v>
      </c>
      <c r="C88" s="7">
        <v>5</v>
      </c>
      <c r="D88" s="7">
        <v>97.5</v>
      </c>
      <c r="E88" s="7">
        <v>18.87</v>
      </c>
      <c r="F88" s="7" t="s">
        <v>22</v>
      </c>
      <c r="G88" s="7" t="s">
        <v>23</v>
      </c>
      <c r="H88" s="7">
        <v>40</v>
      </c>
      <c r="I88" s="7">
        <v>4</v>
      </c>
      <c r="J88" s="7">
        <v>8.6</v>
      </c>
      <c r="K88" s="7">
        <v>0</v>
      </c>
      <c r="L88" s="7">
        <v>8.3000000000000007</v>
      </c>
      <c r="M88" s="7">
        <v>73</v>
      </c>
      <c r="N88" s="2">
        <f t="shared" si="1"/>
        <v>42394</v>
      </c>
      <c r="O88" s="6">
        <v>19.841849199999999</v>
      </c>
      <c r="P88" s="5">
        <v>11.551014054770199</v>
      </c>
      <c r="Q88" s="5">
        <v>7.1944988339040501</v>
      </c>
      <c r="R88" s="5">
        <v>1.6953115700041801</v>
      </c>
    </row>
    <row r="89" spans="1:18" x14ac:dyDescent="0.4">
      <c r="A89" s="7">
        <v>50529</v>
      </c>
      <c r="B89" s="7">
        <v>219</v>
      </c>
      <c r="C89" s="7">
        <v>5</v>
      </c>
      <c r="D89" s="7">
        <v>98.5</v>
      </c>
      <c r="E89" s="7">
        <v>21.82</v>
      </c>
      <c r="F89" s="7" t="s">
        <v>22</v>
      </c>
      <c r="G89" s="7" t="s">
        <v>23</v>
      </c>
      <c r="H89" s="7">
        <v>40</v>
      </c>
      <c r="I89" s="7">
        <v>5</v>
      </c>
      <c r="J89" s="7">
        <v>9.3000000000000007</v>
      </c>
      <c r="K89" s="7">
        <v>0</v>
      </c>
      <c r="L89" s="7">
        <v>9.5</v>
      </c>
      <c r="M89" s="7">
        <v>71</v>
      </c>
      <c r="N89" s="2">
        <f t="shared" si="1"/>
        <v>42395</v>
      </c>
      <c r="O89" s="6">
        <v>18.797737699999999</v>
      </c>
      <c r="P89" s="5">
        <v>10.750686208096299</v>
      </c>
      <c r="Q89" s="5">
        <v>6.5623663644385299</v>
      </c>
      <c r="R89" s="5">
        <v>0.87645991147658397</v>
      </c>
    </row>
    <row r="90" spans="1:18" x14ac:dyDescent="0.4">
      <c r="A90" s="7">
        <v>50530</v>
      </c>
      <c r="B90" s="7">
        <v>219</v>
      </c>
      <c r="C90" s="7">
        <v>5</v>
      </c>
      <c r="D90" s="7">
        <v>99.5</v>
      </c>
      <c r="E90" s="7">
        <v>17.09</v>
      </c>
      <c r="F90" s="7" t="s">
        <v>22</v>
      </c>
      <c r="G90" s="7" t="s">
        <v>23</v>
      </c>
      <c r="H90" s="7">
        <v>40</v>
      </c>
      <c r="I90" s="7">
        <v>6</v>
      </c>
      <c r="J90" s="7">
        <v>8.6999999999999993</v>
      </c>
      <c r="K90" s="7">
        <v>0</v>
      </c>
      <c r="L90" s="7">
        <v>9.8000000000000007</v>
      </c>
      <c r="M90" s="7">
        <v>71</v>
      </c>
      <c r="N90" s="2">
        <f t="shared" si="1"/>
        <v>42396</v>
      </c>
      <c r="O90" s="6">
        <v>17.1676942</v>
      </c>
      <c r="P90" s="5">
        <v>10.6884745650071</v>
      </c>
      <c r="Q90" s="5">
        <v>5.7672760122682902</v>
      </c>
      <c r="R90" s="5">
        <v>0.905934261902543</v>
      </c>
    </row>
    <row r="91" spans="1:18" x14ac:dyDescent="0.4">
      <c r="A91" s="7">
        <v>50531</v>
      </c>
      <c r="B91" s="7">
        <v>219</v>
      </c>
      <c r="C91" s="7">
        <v>5</v>
      </c>
      <c r="D91" s="7">
        <v>100.5</v>
      </c>
      <c r="E91" s="7">
        <v>12.16</v>
      </c>
      <c r="F91" s="7" t="s">
        <v>22</v>
      </c>
      <c r="G91" s="7" t="s">
        <v>23</v>
      </c>
      <c r="H91" s="7">
        <v>40</v>
      </c>
      <c r="I91" s="7">
        <v>7</v>
      </c>
      <c r="J91" s="7">
        <v>7.9</v>
      </c>
      <c r="K91" s="7">
        <v>0</v>
      </c>
      <c r="L91" s="7">
        <v>8.4</v>
      </c>
      <c r="M91" s="7">
        <v>70</v>
      </c>
      <c r="N91" s="2">
        <f t="shared" si="1"/>
        <v>42397</v>
      </c>
      <c r="O91" s="6">
        <v>15.4175094</v>
      </c>
      <c r="P91" s="5">
        <v>9.3363426386715904</v>
      </c>
      <c r="Q91" s="5">
        <v>4.8553747088421302</v>
      </c>
      <c r="R91" s="5">
        <v>0.67141198420618098</v>
      </c>
    </row>
    <row r="92" spans="1:18" x14ac:dyDescent="0.4">
      <c r="A92" s="7">
        <v>50532</v>
      </c>
      <c r="B92" s="7">
        <v>219</v>
      </c>
      <c r="C92" s="7">
        <v>5</v>
      </c>
      <c r="D92" s="7">
        <v>101.5</v>
      </c>
      <c r="E92" s="7">
        <v>17.149999999999999</v>
      </c>
      <c r="F92" s="7" t="s">
        <v>22</v>
      </c>
      <c r="G92" s="7" t="s">
        <v>23</v>
      </c>
      <c r="H92" s="7">
        <v>40</v>
      </c>
      <c r="I92" s="7">
        <v>8</v>
      </c>
      <c r="J92" s="7">
        <v>9.8000000000000007</v>
      </c>
      <c r="K92" s="7">
        <v>0</v>
      </c>
      <c r="L92" s="7">
        <v>10.4</v>
      </c>
      <c r="M92" s="7">
        <v>71</v>
      </c>
      <c r="N92" s="2">
        <f t="shared" si="1"/>
        <v>42398</v>
      </c>
      <c r="O92" s="6">
        <v>14.2265587</v>
      </c>
      <c r="P92" s="5">
        <v>10.580815800954401</v>
      </c>
      <c r="Q92" s="5">
        <v>3.9988215123800201</v>
      </c>
      <c r="R92" s="5">
        <v>0.73558075875237705</v>
      </c>
    </row>
    <row r="93" spans="1:18" x14ac:dyDescent="0.4">
      <c r="A93" s="7">
        <v>50533</v>
      </c>
      <c r="B93" s="7">
        <v>219</v>
      </c>
      <c r="C93" s="7">
        <v>5</v>
      </c>
      <c r="D93" s="7">
        <v>102.5</v>
      </c>
      <c r="E93" s="7">
        <v>12.19</v>
      </c>
      <c r="F93" s="7" t="s">
        <v>22</v>
      </c>
      <c r="G93" s="7" t="s">
        <v>23</v>
      </c>
      <c r="H93" s="7">
        <v>40</v>
      </c>
      <c r="I93" s="7">
        <v>9</v>
      </c>
      <c r="J93" s="7">
        <v>6.9</v>
      </c>
      <c r="K93" s="7">
        <v>0</v>
      </c>
      <c r="L93" s="7">
        <v>8.6</v>
      </c>
      <c r="M93" s="7">
        <v>71</v>
      </c>
      <c r="N93" s="2">
        <f t="shared" si="1"/>
        <v>42399</v>
      </c>
      <c r="O93" s="6">
        <v>12.933474800000001</v>
      </c>
      <c r="P93" s="5">
        <v>9.6864993692789003</v>
      </c>
      <c r="Q93" s="5">
        <v>3.14931074979466</v>
      </c>
      <c r="R93" s="5">
        <v>0.73365741520147498</v>
      </c>
    </row>
    <row r="94" spans="1:18" x14ac:dyDescent="0.4">
      <c r="A94" s="7">
        <v>50534</v>
      </c>
      <c r="B94" s="7">
        <v>219</v>
      </c>
      <c r="C94" s="7">
        <v>5</v>
      </c>
      <c r="D94" s="7">
        <v>103.5</v>
      </c>
      <c r="E94" s="7">
        <v>16.88</v>
      </c>
      <c r="F94" s="7" t="s">
        <v>22</v>
      </c>
      <c r="G94" s="7" t="s">
        <v>23</v>
      </c>
      <c r="H94" s="7">
        <v>40</v>
      </c>
      <c r="I94" s="7">
        <v>10</v>
      </c>
      <c r="J94" s="7">
        <v>10.8</v>
      </c>
      <c r="K94" s="7">
        <v>0</v>
      </c>
      <c r="L94" s="7">
        <v>10.1</v>
      </c>
      <c r="M94" s="7">
        <v>69</v>
      </c>
      <c r="N94" s="2">
        <f t="shared" si="1"/>
        <v>42400</v>
      </c>
      <c r="O94" s="6">
        <v>12.005600400000001</v>
      </c>
      <c r="P94" s="5">
        <v>9.7709251831091795</v>
      </c>
      <c r="Q94" s="5">
        <v>2.3037575237915799</v>
      </c>
      <c r="R94" s="5">
        <v>0.80795560061347405</v>
      </c>
    </row>
    <row r="95" spans="1:18" x14ac:dyDescent="0.4">
      <c r="A95" s="7">
        <v>50535</v>
      </c>
      <c r="B95" s="7">
        <v>219</v>
      </c>
      <c r="C95" s="7">
        <v>5</v>
      </c>
      <c r="D95" s="7">
        <v>104.5</v>
      </c>
      <c r="E95" s="7">
        <v>12.46</v>
      </c>
      <c r="F95" s="7" t="s">
        <v>22</v>
      </c>
      <c r="G95" s="7" t="s">
        <v>23</v>
      </c>
      <c r="H95" s="7">
        <v>40</v>
      </c>
      <c r="I95" s="7">
        <v>11</v>
      </c>
      <c r="J95" s="7">
        <v>13.2</v>
      </c>
      <c r="K95" s="7">
        <v>0</v>
      </c>
      <c r="L95" s="7">
        <v>12.7</v>
      </c>
      <c r="M95" s="7">
        <v>71</v>
      </c>
      <c r="N95" s="2">
        <f t="shared" si="1"/>
        <v>42401</v>
      </c>
      <c r="O95" s="6">
        <v>11.378166200000001</v>
      </c>
      <c r="P95" s="5">
        <v>7.24219744701624</v>
      </c>
      <c r="Q95" s="5">
        <v>1.5880072090597399</v>
      </c>
      <c r="R95" s="5">
        <v>0.494540921289923</v>
      </c>
    </row>
    <row r="96" spans="1:18" x14ac:dyDescent="0.4">
      <c r="A96" s="7">
        <v>50536</v>
      </c>
      <c r="B96" s="7">
        <v>219</v>
      </c>
      <c r="C96" s="7">
        <v>5</v>
      </c>
      <c r="D96" s="7">
        <v>105.5</v>
      </c>
      <c r="E96" s="7">
        <v>10.7</v>
      </c>
      <c r="F96" s="7" t="s">
        <v>22</v>
      </c>
      <c r="G96" s="7" t="s">
        <v>23</v>
      </c>
      <c r="H96" s="7">
        <v>40</v>
      </c>
      <c r="I96" s="7">
        <v>12</v>
      </c>
      <c r="J96" s="7">
        <v>11.4</v>
      </c>
      <c r="K96" s="7">
        <v>0</v>
      </c>
      <c r="L96" s="7">
        <v>12.1</v>
      </c>
      <c r="M96" s="7">
        <v>69</v>
      </c>
      <c r="N96" s="2">
        <f t="shared" si="1"/>
        <v>42402</v>
      </c>
      <c r="O96" s="6">
        <v>10.590028200000001</v>
      </c>
      <c r="P96" s="5">
        <v>8.9645143121973803</v>
      </c>
      <c r="Q96" s="5">
        <v>1.45004832119854</v>
      </c>
      <c r="R96" s="5">
        <v>0.242456681514406</v>
      </c>
    </row>
    <row r="97" spans="1:18" x14ac:dyDescent="0.4">
      <c r="A97" s="7">
        <v>50537</v>
      </c>
      <c r="B97" s="7">
        <v>219</v>
      </c>
      <c r="C97" s="7">
        <v>5</v>
      </c>
      <c r="D97" s="7">
        <v>106.5</v>
      </c>
      <c r="E97" s="7">
        <v>14.26</v>
      </c>
      <c r="F97" s="7" t="s">
        <v>22</v>
      </c>
      <c r="G97" s="7" t="s">
        <v>23</v>
      </c>
      <c r="H97" s="7">
        <v>40</v>
      </c>
      <c r="I97" s="7">
        <v>13</v>
      </c>
      <c r="J97" s="7">
        <v>10.9</v>
      </c>
      <c r="K97" s="7">
        <v>3.8</v>
      </c>
      <c r="L97" s="7">
        <v>11.5</v>
      </c>
      <c r="M97" s="7">
        <v>68</v>
      </c>
      <c r="N97" s="2">
        <f t="shared" si="1"/>
        <v>42403</v>
      </c>
      <c r="O97" s="6">
        <v>10.6239176</v>
      </c>
      <c r="P97" s="5">
        <v>8.8316202397164005</v>
      </c>
      <c r="Q97" s="5">
        <v>2.6659794686562801</v>
      </c>
      <c r="R97" s="5">
        <v>0.21406962591096401</v>
      </c>
    </row>
    <row r="98" spans="1:18" x14ac:dyDescent="0.4">
      <c r="A98" s="7">
        <v>50538</v>
      </c>
      <c r="B98" s="7">
        <v>219</v>
      </c>
      <c r="C98" s="7">
        <v>5</v>
      </c>
      <c r="D98" s="7">
        <v>107.5</v>
      </c>
      <c r="E98" s="7">
        <v>7.51</v>
      </c>
      <c r="F98" s="7" t="s">
        <v>22</v>
      </c>
      <c r="G98" s="7" t="s">
        <v>23</v>
      </c>
      <c r="H98" s="7">
        <v>40</v>
      </c>
      <c r="I98" s="7">
        <v>14</v>
      </c>
      <c r="J98" s="7">
        <v>3.6</v>
      </c>
      <c r="K98" s="7">
        <v>0</v>
      </c>
      <c r="L98" s="7">
        <v>6.2</v>
      </c>
      <c r="M98" s="7">
        <v>74</v>
      </c>
      <c r="N98" s="2">
        <f t="shared" si="1"/>
        <v>42404</v>
      </c>
      <c r="O98" s="6">
        <v>9.7955170999999996</v>
      </c>
      <c r="P98" s="5">
        <v>15.735698909156</v>
      </c>
      <c r="Q98" s="5">
        <v>2.5501961580658898</v>
      </c>
      <c r="R98" s="5">
        <v>4.1555769595548497</v>
      </c>
    </row>
    <row r="99" spans="1:18" x14ac:dyDescent="0.4">
      <c r="A99" s="7">
        <v>50539</v>
      </c>
      <c r="B99" s="7">
        <v>219</v>
      </c>
      <c r="C99" s="7">
        <v>5</v>
      </c>
      <c r="D99" s="7">
        <v>108.5</v>
      </c>
      <c r="E99" s="7">
        <v>9.85</v>
      </c>
      <c r="F99" s="7" t="s">
        <v>22</v>
      </c>
      <c r="G99" s="7" t="s">
        <v>23</v>
      </c>
      <c r="H99" s="7">
        <v>40</v>
      </c>
      <c r="I99" s="7">
        <v>15</v>
      </c>
      <c r="J99" s="7">
        <v>4.4000000000000004</v>
      </c>
      <c r="K99" s="7">
        <v>0</v>
      </c>
      <c r="L99" s="7">
        <v>5</v>
      </c>
      <c r="M99" s="7">
        <v>71</v>
      </c>
      <c r="N99" s="2">
        <f t="shared" si="1"/>
        <v>42405</v>
      </c>
      <c r="O99" s="6">
        <v>8.7450574599999999</v>
      </c>
      <c r="P99" s="5">
        <v>15.5747936933098</v>
      </c>
      <c r="Q99" s="5">
        <v>2.4302260584685098</v>
      </c>
      <c r="R99" s="5">
        <v>2.8534402339573401</v>
      </c>
    </row>
    <row r="100" spans="1:18" x14ac:dyDescent="0.4">
      <c r="A100" s="7">
        <v>50540</v>
      </c>
      <c r="B100" s="7">
        <v>219</v>
      </c>
      <c r="C100" s="7">
        <v>5</v>
      </c>
      <c r="D100" s="7">
        <v>109.5</v>
      </c>
      <c r="E100" s="7">
        <v>10.38</v>
      </c>
      <c r="F100" s="7" t="s">
        <v>22</v>
      </c>
      <c r="G100" s="7" t="s">
        <v>23</v>
      </c>
      <c r="H100" s="7">
        <v>40</v>
      </c>
      <c r="I100" s="7">
        <v>16</v>
      </c>
      <c r="J100" s="7">
        <v>4.8</v>
      </c>
      <c r="K100" s="7">
        <v>0</v>
      </c>
      <c r="L100" s="7">
        <v>6.2</v>
      </c>
      <c r="M100" s="7">
        <v>69</v>
      </c>
      <c r="N100" s="2">
        <f t="shared" si="1"/>
        <v>42406</v>
      </c>
      <c r="O100" s="6">
        <v>7.8816111800000002</v>
      </c>
      <c r="P100" s="5">
        <v>10.9779244980322</v>
      </c>
      <c r="Q100" s="5">
        <v>2.30389792319784</v>
      </c>
      <c r="R100" s="5">
        <v>0.38040958275202102</v>
      </c>
    </row>
    <row r="101" spans="1:18" x14ac:dyDescent="0.4">
      <c r="A101" s="7">
        <v>50541</v>
      </c>
      <c r="B101" s="7">
        <v>219</v>
      </c>
      <c r="C101" s="7">
        <v>5</v>
      </c>
      <c r="D101" s="7">
        <v>110.5</v>
      </c>
      <c r="E101" s="7">
        <v>3.22</v>
      </c>
      <c r="F101" s="7" t="s">
        <v>22</v>
      </c>
      <c r="G101" s="7" t="s">
        <v>23</v>
      </c>
      <c r="H101" s="7">
        <v>40</v>
      </c>
      <c r="I101" s="7">
        <v>17</v>
      </c>
      <c r="J101" s="7">
        <v>9.8000000000000007</v>
      </c>
      <c r="K101" s="7">
        <v>0</v>
      </c>
      <c r="L101" s="7">
        <v>10.4</v>
      </c>
      <c r="M101" s="7">
        <v>67</v>
      </c>
      <c r="N101" s="2">
        <f t="shared" si="1"/>
        <v>42407</v>
      </c>
      <c r="O101" s="6">
        <v>7.5872956599999997</v>
      </c>
      <c r="P101" s="5">
        <v>8.3135893529418592</v>
      </c>
      <c r="Q101" s="5">
        <v>2.3628357640287101</v>
      </c>
      <c r="R101" s="5">
        <v>0.24494297953577801</v>
      </c>
    </row>
    <row r="102" spans="1:18" x14ac:dyDescent="0.4">
      <c r="A102" s="7">
        <v>50542</v>
      </c>
      <c r="B102" s="7">
        <v>219</v>
      </c>
      <c r="C102" s="7">
        <v>5</v>
      </c>
      <c r="D102" s="7">
        <v>111.5</v>
      </c>
      <c r="E102" s="7">
        <v>7.22</v>
      </c>
      <c r="F102" s="7" t="s">
        <v>22</v>
      </c>
      <c r="G102" s="7" t="s">
        <v>23</v>
      </c>
      <c r="H102" s="7">
        <v>40</v>
      </c>
      <c r="I102" s="7">
        <v>18</v>
      </c>
      <c r="J102" s="7">
        <v>7.9</v>
      </c>
      <c r="K102" s="7">
        <v>9.1999999999999993</v>
      </c>
      <c r="L102" s="7">
        <v>7.9</v>
      </c>
      <c r="M102" s="7">
        <v>76</v>
      </c>
      <c r="N102" s="2">
        <f t="shared" si="1"/>
        <v>42408</v>
      </c>
      <c r="O102" s="6">
        <v>7.0349354000000002</v>
      </c>
      <c r="P102" s="5">
        <v>10.332645185464999</v>
      </c>
      <c r="Q102" s="5">
        <v>2.2101348661193301</v>
      </c>
      <c r="R102" s="5">
        <v>1.3961621506319399</v>
      </c>
    </row>
    <row r="103" spans="1:18" x14ac:dyDescent="0.4">
      <c r="A103" s="7">
        <v>50543</v>
      </c>
      <c r="B103" s="7">
        <v>219</v>
      </c>
      <c r="C103" s="7">
        <v>5</v>
      </c>
      <c r="D103" s="7">
        <v>112.5</v>
      </c>
      <c r="E103" s="7">
        <v>8.9600000000000009</v>
      </c>
      <c r="F103" s="7" t="s">
        <v>22</v>
      </c>
      <c r="G103" s="7" t="s">
        <v>23</v>
      </c>
      <c r="H103" s="7">
        <v>40</v>
      </c>
      <c r="I103" s="7">
        <v>19</v>
      </c>
      <c r="J103" s="7">
        <v>7.5</v>
      </c>
      <c r="K103" s="7">
        <v>15.6</v>
      </c>
      <c r="L103" s="7">
        <v>8.4</v>
      </c>
      <c r="M103" s="7">
        <v>72</v>
      </c>
      <c r="N103" s="2">
        <f t="shared" si="1"/>
        <v>42409</v>
      </c>
      <c r="O103" s="6">
        <v>6.10029866</v>
      </c>
      <c r="P103" s="5">
        <v>11.596033659986199</v>
      </c>
      <c r="Q103" s="5">
        <v>2.0013047800932502</v>
      </c>
      <c r="R103" s="5">
        <v>1.92970568925102</v>
      </c>
    </row>
    <row r="104" spans="1:18" x14ac:dyDescent="0.4">
      <c r="A104" s="7">
        <v>50544</v>
      </c>
      <c r="B104" s="7">
        <v>219</v>
      </c>
      <c r="C104" s="7">
        <v>5</v>
      </c>
      <c r="D104" s="7">
        <v>113.5</v>
      </c>
      <c r="E104" s="7">
        <v>4.1500000000000004</v>
      </c>
      <c r="F104" s="7" t="s">
        <v>22</v>
      </c>
      <c r="G104" s="7" t="s">
        <v>23</v>
      </c>
      <c r="H104" s="7">
        <v>40</v>
      </c>
      <c r="I104" s="7">
        <v>20</v>
      </c>
      <c r="J104" s="7">
        <v>5.7</v>
      </c>
      <c r="K104" s="7">
        <v>0</v>
      </c>
      <c r="L104" s="7">
        <v>8.3000000000000007</v>
      </c>
      <c r="M104" s="7">
        <v>86</v>
      </c>
      <c r="N104" s="2">
        <f t="shared" si="1"/>
        <v>42410</v>
      </c>
      <c r="O104" s="6">
        <v>10.0049166</v>
      </c>
      <c r="P104" s="5">
        <v>10.5915778768768</v>
      </c>
      <c r="Q104" s="5">
        <v>3.0167014770390002</v>
      </c>
      <c r="R104" s="5">
        <v>2.1388607744549399</v>
      </c>
    </row>
    <row r="105" spans="1:18" x14ac:dyDescent="0.4">
      <c r="A105" s="7">
        <v>50545</v>
      </c>
      <c r="B105" s="7">
        <v>219</v>
      </c>
      <c r="C105" s="7">
        <v>5</v>
      </c>
      <c r="D105" s="7">
        <v>114.5</v>
      </c>
      <c r="E105" s="7">
        <v>9.39</v>
      </c>
      <c r="F105" s="7" t="s">
        <v>22</v>
      </c>
      <c r="G105" s="7" t="s">
        <v>23</v>
      </c>
      <c r="H105" s="7">
        <v>40</v>
      </c>
      <c r="I105" s="7">
        <v>21</v>
      </c>
      <c r="J105" s="7">
        <v>6.2</v>
      </c>
      <c r="K105" s="7">
        <v>0</v>
      </c>
      <c r="L105" s="7">
        <v>7.5</v>
      </c>
      <c r="M105" s="7">
        <v>83</v>
      </c>
      <c r="N105" s="2">
        <f t="shared" si="1"/>
        <v>42411</v>
      </c>
      <c r="O105" s="6">
        <v>13.506781200000001</v>
      </c>
      <c r="P105" s="5">
        <v>9.8221910276380502</v>
      </c>
      <c r="Q105" s="5">
        <v>3.3047963797495501</v>
      </c>
      <c r="R105" s="5">
        <v>1.72687472040213</v>
      </c>
    </row>
    <row r="106" spans="1:18" x14ac:dyDescent="0.4">
      <c r="A106" s="7">
        <v>50546</v>
      </c>
      <c r="B106" s="7">
        <v>219</v>
      </c>
      <c r="C106" s="7">
        <v>5</v>
      </c>
      <c r="D106" s="7">
        <v>115.5</v>
      </c>
      <c r="E106" s="7">
        <v>19.09</v>
      </c>
      <c r="F106" s="7" t="s">
        <v>22</v>
      </c>
      <c r="G106" s="7" t="s">
        <v>23</v>
      </c>
      <c r="H106" s="7">
        <v>40</v>
      </c>
      <c r="I106" s="7">
        <v>22</v>
      </c>
      <c r="J106" s="7">
        <v>7.8</v>
      </c>
      <c r="K106" s="7">
        <v>0</v>
      </c>
      <c r="L106" s="7">
        <v>8.3000000000000007</v>
      </c>
      <c r="M106" s="7">
        <v>80</v>
      </c>
      <c r="N106" s="2">
        <f t="shared" si="1"/>
        <v>42412</v>
      </c>
      <c r="O106" s="6">
        <v>16.893411</v>
      </c>
      <c r="P106" s="5">
        <v>10.2876915427274</v>
      </c>
      <c r="Q106" s="5">
        <v>2.2074059681624001</v>
      </c>
      <c r="R106" s="5">
        <v>1.94437634924324</v>
      </c>
    </row>
    <row r="107" spans="1:18" x14ac:dyDescent="0.4">
      <c r="A107" s="7">
        <v>50547</v>
      </c>
      <c r="B107" s="7">
        <v>219</v>
      </c>
      <c r="C107" s="7">
        <v>5</v>
      </c>
      <c r="D107" s="7">
        <v>116.5</v>
      </c>
      <c r="E107" s="7">
        <v>25.52</v>
      </c>
      <c r="F107" s="7" t="s">
        <v>22</v>
      </c>
      <c r="G107" s="7" t="s">
        <v>23</v>
      </c>
      <c r="H107" s="7">
        <v>40</v>
      </c>
      <c r="I107" s="7">
        <v>23</v>
      </c>
      <c r="J107" s="7">
        <v>9.6999999999999993</v>
      </c>
      <c r="K107" s="7">
        <v>20.6</v>
      </c>
      <c r="L107" s="7">
        <v>9.8000000000000007</v>
      </c>
      <c r="M107" s="7">
        <v>85</v>
      </c>
      <c r="N107" s="2">
        <f t="shared" si="1"/>
        <v>42413</v>
      </c>
      <c r="O107" s="6">
        <v>16.524193400000001</v>
      </c>
      <c r="P107" s="5">
        <v>13.4866520386411</v>
      </c>
      <c r="Q107" s="5">
        <v>4.8369016249321</v>
      </c>
      <c r="R107" s="5">
        <v>1.42483655190793</v>
      </c>
    </row>
    <row r="108" spans="1:18" x14ac:dyDescent="0.4">
      <c r="A108" s="7">
        <v>50548</v>
      </c>
      <c r="B108" s="7">
        <v>219</v>
      </c>
      <c r="C108" s="7">
        <v>5</v>
      </c>
      <c r="D108" s="7">
        <v>117.5</v>
      </c>
      <c r="E108" s="7">
        <v>33.97</v>
      </c>
      <c r="F108" s="7" t="s">
        <v>22</v>
      </c>
      <c r="G108" s="7" t="s">
        <v>23</v>
      </c>
      <c r="H108" s="7">
        <v>40</v>
      </c>
      <c r="I108" s="7">
        <v>24</v>
      </c>
      <c r="J108" s="7">
        <v>10.5</v>
      </c>
      <c r="K108" s="7">
        <v>3.8</v>
      </c>
      <c r="L108" s="7">
        <v>11.3</v>
      </c>
      <c r="M108" s="7">
        <v>87</v>
      </c>
      <c r="N108" s="2">
        <f t="shared" si="1"/>
        <v>42414</v>
      </c>
      <c r="O108" s="6">
        <v>27.5971358</v>
      </c>
      <c r="P108" s="5">
        <v>12.696412687604401</v>
      </c>
      <c r="Q108" s="5">
        <v>8.4321809460477493</v>
      </c>
      <c r="R108" s="5">
        <v>2.8218109473243702</v>
      </c>
    </row>
    <row r="109" spans="1:18" x14ac:dyDescent="0.4">
      <c r="A109" s="7">
        <v>50549</v>
      </c>
      <c r="B109" s="7">
        <v>219</v>
      </c>
      <c r="C109" s="7">
        <v>5</v>
      </c>
      <c r="D109" s="7">
        <v>118.5</v>
      </c>
      <c r="E109" s="7">
        <v>35.86</v>
      </c>
      <c r="F109" s="7" t="s">
        <v>22</v>
      </c>
      <c r="G109" s="7" t="s">
        <v>23</v>
      </c>
      <c r="H109" s="7">
        <v>40</v>
      </c>
      <c r="I109" s="7">
        <v>25</v>
      </c>
      <c r="J109" s="7">
        <v>5</v>
      </c>
      <c r="K109" s="7">
        <v>0</v>
      </c>
      <c r="L109" s="7">
        <v>8</v>
      </c>
      <c r="M109" s="7">
        <v>85</v>
      </c>
      <c r="N109" s="2">
        <f t="shared" si="1"/>
        <v>42415</v>
      </c>
      <c r="O109" s="6">
        <v>45.198029400000003</v>
      </c>
      <c r="P109" s="5">
        <v>12.499854068804201</v>
      </c>
      <c r="Q109" s="5">
        <v>18.302487401564701</v>
      </c>
      <c r="R109" s="5">
        <v>2.84687992191818</v>
      </c>
    </row>
    <row r="110" spans="1:18" x14ac:dyDescent="0.4">
      <c r="A110" s="7">
        <v>50550</v>
      </c>
      <c r="B110" s="7">
        <v>219</v>
      </c>
      <c r="C110" s="7">
        <v>5</v>
      </c>
      <c r="D110" s="7">
        <v>119.5</v>
      </c>
      <c r="E110" s="7">
        <v>66.33</v>
      </c>
      <c r="F110" s="7" t="s">
        <v>22</v>
      </c>
      <c r="G110" s="7" t="s">
        <v>23</v>
      </c>
      <c r="H110" s="7">
        <v>40</v>
      </c>
      <c r="I110" s="7">
        <v>26</v>
      </c>
      <c r="J110" s="7">
        <v>3.3</v>
      </c>
      <c r="K110" s="7">
        <v>0</v>
      </c>
      <c r="L110" s="7">
        <v>5.5</v>
      </c>
      <c r="M110" s="7">
        <v>56</v>
      </c>
      <c r="N110" s="2">
        <f t="shared" si="1"/>
        <v>42416</v>
      </c>
      <c r="O110" s="6">
        <v>47.996423999999998</v>
      </c>
      <c r="P110" s="5">
        <v>22.201796204342099</v>
      </c>
      <c r="Q110" s="5">
        <v>21.575129000775298</v>
      </c>
      <c r="R110" s="5">
        <v>5.91095015103335</v>
      </c>
    </row>
    <row r="111" spans="1:18" x14ac:dyDescent="0.4">
      <c r="A111" s="7">
        <v>50551</v>
      </c>
      <c r="B111" s="7">
        <v>219</v>
      </c>
      <c r="C111" s="7">
        <v>5</v>
      </c>
      <c r="D111" s="7">
        <v>120.5</v>
      </c>
      <c r="E111" s="7">
        <v>58.88</v>
      </c>
      <c r="F111" s="7" t="s">
        <v>22</v>
      </c>
      <c r="G111" s="7" t="s">
        <v>23</v>
      </c>
      <c r="H111" s="7">
        <v>40</v>
      </c>
      <c r="I111" s="7">
        <v>27</v>
      </c>
      <c r="J111" s="7">
        <v>0.7</v>
      </c>
      <c r="K111" s="7">
        <v>0</v>
      </c>
      <c r="L111" s="7">
        <v>2.8</v>
      </c>
      <c r="M111" s="7">
        <v>79</v>
      </c>
      <c r="N111" s="2">
        <f t="shared" si="1"/>
        <v>42417</v>
      </c>
      <c r="O111" s="6">
        <v>43.675634000000002</v>
      </c>
      <c r="P111" s="5">
        <v>18.385373896712199</v>
      </c>
      <c r="Q111" s="5">
        <v>17.672707461451299</v>
      </c>
      <c r="R111" s="5">
        <v>5.3672250584218704</v>
      </c>
    </row>
    <row r="112" spans="1:18" x14ac:dyDescent="0.4">
      <c r="A112" s="7">
        <v>50552</v>
      </c>
      <c r="B112" s="7">
        <v>219</v>
      </c>
      <c r="C112" s="7">
        <v>5</v>
      </c>
      <c r="D112" s="7">
        <v>121.5</v>
      </c>
      <c r="E112" s="7">
        <v>29.29</v>
      </c>
      <c r="F112" s="7" t="s">
        <v>22</v>
      </c>
      <c r="G112" s="7" t="s">
        <v>23</v>
      </c>
      <c r="H112" s="7">
        <v>40</v>
      </c>
      <c r="I112" s="7">
        <v>28</v>
      </c>
      <c r="J112" s="7">
        <v>-0.3</v>
      </c>
      <c r="K112" s="7">
        <v>0.7</v>
      </c>
      <c r="L112" s="7">
        <v>2.1</v>
      </c>
      <c r="M112" s="7">
        <v>77</v>
      </c>
      <c r="N112" s="2">
        <f t="shared" si="1"/>
        <v>42418</v>
      </c>
      <c r="O112" s="6">
        <v>38.625235400000001</v>
      </c>
      <c r="P112" s="5">
        <v>16.806429253362399</v>
      </c>
      <c r="Q112" s="5">
        <v>12.966863428712401</v>
      </c>
      <c r="R112" s="5">
        <v>4.8605588021327897</v>
      </c>
    </row>
    <row r="113" spans="1:18" x14ac:dyDescent="0.4">
      <c r="A113" s="7">
        <v>50553</v>
      </c>
      <c r="B113" s="7">
        <v>219</v>
      </c>
      <c r="C113" s="7">
        <v>5</v>
      </c>
      <c r="D113" s="7">
        <v>122.5</v>
      </c>
      <c r="E113" s="7">
        <v>100.51</v>
      </c>
      <c r="F113" s="7" t="s">
        <v>22</v>
      </c>
      <c r="G113" s="7" t="s">
        <v>23</v>
      </c>
      <c r="H113" s="7">
        <v>40</v>
      </c>
      <c r="I113" s="7">
        <v>29</v>
      </c>
      <c r="J113" s="7">
        <v>3.2</v>
      </c>
      <c r="K113" s="7">
        <v>0</v>
      </c>
      <c r="L113" s="7">
        <v>5.0999999999999996</v>
      </c>
      <c r="M113" s="7">
        <v>54</v>
      </c>
      <c r="N113" s="2">
        <f t="shared" si="1"/>
        <v>42419</v>
      </c>
      <c r="O113" s="6">
        <v>34.204317400000001</v>
      </c>
      <c r="P113" s="5">
        <v>23.362513235117</v>
      </c>
      <c r="Q113" s="5">
        <v>10.021167345181199</v>
      </c>
      <c r="R113" s="5">
        <v>6.7189986359154199</v>
      </c>
    </row>
    <row r="114" spans="1:18" x14ac:dyDescent="0.4">
      <c r="A114" s="7">
        <v>50554</v>
      </c>
      <c r="B114" s="7">
        <v>219</v>
      </c>
      <c r="C114" s="7">
        <v>5</v>
      </c>
      <c r="D114" s="7">
        <v>123.5</v>
      </c>
      <c r="E114" s="7">
        <v>62.5</v>
      </c>
      <c r="F114" s="7" t="s">
        <v>22</v>
      </c>
      <c r="G114" s="7" t="s">
        <v>23</v>
      </c>
      <c r="H114" s="7">
        <v>40</v>
      </c>
      <c r="I114" s="7">
        <v>30</v>
      </c>
      <c r="J114" s="7">
        <v>1.7</v>
      </c>
      <c r="K114" s="7">
        <v>0</v>
      </c>
      <c r="L114" s="7">
        <v>3.8</v>
      </c>
      <c r="M114" s="7">
        <v>53</v>
      </c>
      <c r="N114" s="2">
        <f t="shared" si="1"/>
        <v>42420</v>
      </c>
      <c r="O114" s="6">
        <v>30.892554799999999</v>
      </c>
      <c r="P114" s="5">
        <v>17.846978812348201</v>
      </c>
      <c r="Q114" s="5">
        <v>8.25020070856859</v>
      </c>
      <c r="R114" s="5">
        <v>5.2188167870328899</v>
      </c>
    </row>
    <row r="115" spans="1:18" x14ac:dyDescent="0.4">
      <c r="A115" s="7">
        <v>50555</v>
      </c>
      <c r="B115" s="7">
        <v>219</v>
      </c>
      <c r="C115" s="7">
        <v>5</v>
      </c>
      <c r="D115" s="7">
        <v>124.5</v>
      </c>
      <c r="E115" s="7">
        <v>79.650000000000006</v>
      </c>
      <c r="F115" s="7" t="s">
        <v>22</v>
      </c>
      <c r="G115" s="7" t="s">
        <v>23</v>
      </c>
      <c r="H115" s="7">
        <v>40</v>
      </c>
      <c r="I115" s="7">
        <v>31</v>
      </c>
      <c r="J115" s="7">
        <v>4.5999999999999996</v>
      </c>
      <c r="K115" s="7">
        <v>0</v>
      </c>
      <c r="L115" s="7">
        <v>6</v>
      </c>
      <c r="M115" s="7">
        <v>74</v>
      </c>
      <c r="N115" s="2">
        <f t="shared" si="1"/>
        <v>42421</v>
      </c>
      <c r="O115" s="6">
        <v>31.892659399999999</v>
      </c>
      <c r="P115" s="5">
        <v>19.571964268622001</v>
      </c>
      <c r="Q115" s="5">
        <v>9.20659195619257</v>
      </c>
      <c r="R115" s="5">
        <v>6.5762500870930998</v>
      </c>
    </row>
    <row r="116" spans="1:18" x14ac:dyDescent="0.4">
      <c r="A116" s="7">
        <v>50556</v>
      </c>
      <c r="B116" s="7">
        <v>219</v>
      </c>
      <c r="C116" s="7">
        <v>5</v>
      </c>
      <c r="D116" s="7">
        <v>125.5</v>
      </c>
      <c r="E116" s="7">
        <v>48.24</v>
      </c>
      <c r="F116" s="7" t="s">
        <v>22</v>
      </c>
      <c r="G116" s="7" t="s">
        <v>23</v>
      </c>
      <c r="H116" s="7">
        <v>40</v>
      </c>
      <c r="I116" s="7">
        <v>32</v>
      </c>
      <c r="J116" s="7">
        <v>7.4</v>
      </c>
      <c r="K116" s="7">
        <v>10.4</v>
      </c>
      <c r="L116" s="7">
        <v>8.1</v>
      </c>
      <c r="M116" s="7">
        <v>55</v>
      </c>
      <c r="N116" s="2">
        <f t="shared" si="1"/>
        <v>42422</v>
      </c>
      <c r="O116" s="6">
        <v>27.6199102</v>
      </c>
      <c r="P116" s="5">
        <v>11.9017992398626</v>
      </c>
      <c r="Q116" s="5">
        <v>10.154638904852201</v>
      </c>
      <c r="R116" s="5">
        <v>1.7708413847798401</v>
      </c>
    </row>
    <row r="117" spans="1:18" x14ac:dyDescent="0.4">
      <c r="A117" s="7">
        <v>50557</v>
      </c>
      <c r="B117" s="7">
        <v>219</v>
      </c>
      <c r="C117" s="7">
        <v>5</v>
      </c>
      <c r="D117" s="7">
        <v>126.5</v>
      </c>
      <c r="E117" s="7">
        <v>8.81</v>
      </c>
      <c r="F117" s="7" t="s">
        <v>22</v>
      </c>
      <c r="G117" s="7" t="s">
        <v>23</v>
      </c>
      <c r="H117" s="7">
        <v>40</v>
      </c>
      <c r="I117" s="7">
        <v>33</v>
      </c>
      <c r="J117" s="7">
        <v>9</v>
      </c>
      <c r="K117" s="7">
        <v>0</v>
      </c>
      <c r="L117" s="7">
        <v>9.3000000000000007</v>
      </c>
      <c r="M117" s="7">
        <v>57</v>
      </c>
      <c r="N117" s="2">
        <f t="shared" si="1"/>
        <v>42423</v>
      </c>
      <c r="O117" s="6">
        <v>24.387316800000001</v>
      </c>
      <c r="P117" s="5">
        <v>5.4065015826026501</v>
      </c>
      <c r="Q117" s="5">
        <v>7.8961532646886203</v>
      </c>
      <c r="R117" s="5">
        <v>1.44565975832942</v>
      </c>
    </row>
    <row r="118" spans="1:18" x14ac:dyDescent="0.4">
      <c r="A118" s="7">
        <v>50558</v>
      </c>
      <c r="B118" s="7">
        <v>219</v>
      </c>
      <c r="C118" s="7">
        <v>5</v>
      </c>
      <c r="D118" s="7">
        <v>127.5</v>
      </c>
      <c r="E118" s="7">
        <v>26.5</v>
      </c>
      <c r="F118" s="7" t="s">
        <v>22</v>
      </c>
      <c r="G118" s="7" t="s">
        <v>23</v>
      </c>
      <c r="H118" s="7">
        <v>40</v>
      </c>
      <c r="I118" s="7">
        <v>34</v>
      </c>
      <c r="J118" s="7">
        <v>10.3</v>
      </c>
      <c r="K118" s="7">
        <v>0</v>
      </c>
      <c r="L118" s="7">
        <v>10.1</v>
      </c>
      <c r="M118" s="7">
        <v>78</v>
      </c>
      <c r="N118" s="2">
        <f t="shared" si="1"/>
        <v>42424</v>
      </c>
      <c r="O118" s="6">
        <v>22.9714408</v>
      </c>
      <c r="P118" s="5">
        <v>12.123863983229301</v>
      </c>
      <c r="Q118" s="5">
        <v>7.5040803962830598</v>
      </c>
      <c r="R118" s="5">
        <v>2.1867655689484602</v>
      </c>
    </row>
    <row r="119" spans="1:18" x14ac:dyDescent="0.4">
      <c r="A119" s="7">
        <v>50559</v>
      </c>
      <c r="B119" s="7">
        <v>219</v>
      </c>
      <c r="C119" s="7">
        <v>5</v>
      </c>
      <c r="D119" s="7">
        <v>128.5</v>
      </c>
      <c r="E119" s="7">
        <v>14.19</v>
      </c>
      <c r="F119" s="7" t="s">
        <v>22</v>
      </c>
      <c r="G119" s="7" t="s">
        <v>23</v>
      </c>
      <c r="H119" s="7">
        <v>40</v>
      </c>
      <c r="I119" s="7">
        <v>35</v>
      </c>
      <c r="J119" s="7">
        <v>8.6</v>
      </c>
      <c r="K119" s="7">
        <v>0</v>
      </c>
      <c r="L119" s="7">
        <v>9</v>
      </c>
      <c r="M119" s="7">
        <v>54</v>
      </c>
      <c r="N119" s="2">
        <f t="shared" si="1"/>
        <v>42425</v>
      </c>
      <c r="O119" s="6">
        <v>18.407387400000001</v>
      </c>
      <c r="P119" s="5">
        <v>7.1140077755414302</v>
      </c>
      <c r="Q119" s="5">
        <v>4.9076222562137799</v>
      </c>
      <c r="R119" s="5">
        <v>0.99290298946667699</v>
      </c>
    </row>
    <row r="120" spans="1:18" x14ac:dyDescent="0.4">
      <c r="A120" s="7">
        <v>50560</v>
      </c>
      <c r="B120" s="7">
        <v>219</v>
      </c>
      <c r="C120" s="7">
        <v>5</v>
      </c>
      <c r="D120" s="7">
        <v>129.5</v>
      </c>
      <c r="E120" s="7">
        <v>12.72</v>
      </c>
      <c r="F120" s="7" t="s">
        <v>22</v>
      </c>
      <c r="G120" s="7" t="s">
        <v>23</v>
      </c>
      <c r="H120" s="7">
        <v>40</v>
      </c>
      <c r="I120" s="7">
        <v>36</v>
      </c>
      <c r="J120" s="7">
        <v>6.1</v>
      </c>
      <c r="K120" s="7">
        <v>2</v>
      </c>
      <c r="L120" s="7">
        <v>8.3000000000000007</v>
      </c>
      <c r="M120" s="7">
        <v>79</v>
      </c>
      <c r="N120" s="2">
        <f t="shared" si="1"/>
        <v>42426</v>
      </c>
      <c r="O120" s="6">
        <v>15.7712112</v>
      </c>
      <c r="P120" s="5">
        <v>9.4741583199354196</v>
      </c>
      <c r="Q120" s="5">
        <v>4.4872038695226104</v>
      </c>
      <c r="R120" s="5">
        <v>1.6274782227928699</v>
      </c>
    </row>
    <row r="121" spans="1:18" x14ac:dyDescent="0.4">
      <c r="A121" s="7">
        <v>50561</v>
      </c>
      <c r="B121" s="7">
        <v>219</v>
      </c>
      <c r="C121" s="7">
        <v>5</v>
      </c>
      <c r="D121" s="7">
        <v>130.5</v>
      </c>
      <c r="E121" s="7">
        <v>13.13</v>
      </c>
      <c r="F121" s="7" t="s">
        <v>22</v>
      </c>
      <c r="G121" s="7" t="s">
        <v>23</v>
      </c>
      <c r="H121" s="7">
        <v>40</v>
      </c>
      <c r="I121" s="7">
        <v>37</v>
      </c>
      <c r="J121" s="7">
        <v>7.2</v>
      </c>
      <c r="K121" s="7">
        <v>9.5</v>
      </c>
      <c r="L121" s="7">
        <v>7.6</v>
      </c>
      <c r="M121" s="7">
        <v>76</v>
      </c>
      <c r="N121" s="2">
        <f t="shared" si="1"/>
        <v>42427</v>
      </c>
      <c r="O121" s="6">
        <v>10.2284322</v>
      </c>
      <c r="P121" s="5">
        <v>10.232065993078001</v>
      </c>
      <c r="Q121" s="5">
        <v>2.59007641008836</v>
      </c>
      <c r="R121" s="5">
        <v>1.6016316412404901</v>
      </c>
    </row>
    <row r="122" spans="1:18" x14ac:dyDescent="0.4">
      <c r="A122" s="7">
        <v>50562</v>
      </c>
      <c r="B122" s="7">
        <v>219</v>
      </c>
      <c r="C122" s="7">
        <v>5</v>
      </c>
      <c r="D122" s="7">
        <v>131.5</v>
      </c>
      <c r="E122" s="7">
        <v>5.99</v>
      </c>
      <c r="F122" s="7" t="s">
        <v>22</v>
      </c>
      <c r="G122" s="7" t="s">
        <v>23</v>
      </c>
      <c r="H122" s="7">
        <v>40</v>
      </c>
      <c r="I122" s="7">
        <v>38</v>
      </c>
      <c r="J122" s="7">
        <v>5.8</v>
      </c>
      <c r="K122" s="7">
        <v>0</v>
      </c>
      <c r="L122" s="7">
        <v>7.2</v>
      </c>
      <c r="M122" s="7">
        <v>57</v>
      </c>
      <c r="N122" s="2">
        <f t="shared" si="1"/>
        <v>42428</v>
      </c>
      <c r="O122" s="6">
        <v>7.8002396999999997</v>
      </c>
      <c r="P122" s="5">
        <v>6.4367275674073801</v>
      </c>
      <c r="Q122" s="5">
        <v>2.0575951675248301</v>
      </c>
      <c r="R122" s="5">
        <v>1.1294226369878899</v>
      </c>
    </row>
    <row r="123" spans="1:18" x14ac:dyDescent="0.4">
      <c r="A123" s="7">
        <v>50563</v>
      </c>
      <c r="B123" s="7">
        <v>219</v>
      </c>
      <c r="C123" s="7">
        <v>5</v>
      </c>
      <c r="D123" s="7">
        <v>133.5</v>
      </c>
      <c r="E123" s="7">
        <v>10.51</v>
      </c>
      <c r="F123" s="7" t="s">
        <v>22</v>
      </c>
      <c r="G123" s="7" t="s">
        <v>23</v>
      </c>
      <c r="H123" s="7">
        <v>40</v>
      </c>
      <c r="I123" s="7">
        <v>40</v>
      </c>
      <c r="J123" s="7">
        <v>4.0999999999999996</v>
      </c>
      <c r="K123" s="7">
        <v>0</v>
      </c>
      <c r="L123" s="7">
        <v>5.6</v>
      </c>
      <c r="M123" s="7">
        <v>76</v>
      </c>
      <c r="N123" s="2">
        <f t="shared" si="1"/>
        <v>42430</v>
      </c>
      <c r="O123" s="6">
        <v>5.9361138200000001</v>
      </c>
      <c r="P123" s="5">
        <v>18.0423292452172</v>
      </c>
      <c r="Q123" s="5">
        <v>2.1920920521743401</v>
      </c>
      <c r="R123" s="5">
        <v>6.4243500435836998</v>
      </c>
    </row>
    <row r="124" spans="1:18" x14ac:dyDescent="0.4">
      <c r="A124" s="7">
        <v>50564</v>
      </c>
      <c r="B124" s="7">
        <v>219</v>
      </c>
      <c r="C124" s="7">
        <v>5</v>
      </c>
      <c r="D124" s="7">
        <v>134.5</v>
      </c>
      <c r="E124" s="7">
        <v>7.4</v>
      </c>
      <c r="F124" s="7" t="s">
        <v>22</v>
      </c>
      <c r="G124" s="7" t="s">
        <v>23</v>
      </c>
      <c r="H124" s="7">
        <v>40</v>
      </c>
      <c r="I124" s="7">
        <v>41</v>
      </c>
      <c r="J124" s="7">
        <v>7.9</v>
      </c>
      <c r="K124" s="7">
        <v>0</v>
      </c>
      <c r="L124" s="7">
        <v>8</v>
      </c>
      <c r="M124" s="7">
        <v>75</v>
      </c>
      <c r="N124" s="2">
        <f t="shared" si="1"/>
        <v>42431</v>
      </c>
      <c r="O124" s="6">
        <v>5.5376020199999996</v>
      </c>
      <c r="P124" s="5">
        <v>11.5833639204315</v>
      </c>
      <c r="Q124" s="5">
        <v>1.6818256513076699</v>
      </c>
      <c r="R124" s="5">
        <v>1.79276589385777</v>
      </c>
    </row>
    <row r="125" spans="1:18" x14ac:dyDescent="0.4">
      <c r="A125" s="7">
        <v>50565</v>
      </c>
      <c r="B125" s="7">
        <v>219</v>
      </c>
      <c r="C125" s="7">
        <v>5</v>
      </c>
      <c r="D125" s="7">
        <v>135.5</v>
      </c>
      <c r="E125" s="7">
        <v>1.31</v>
      </c>
      <c r="F125" s="7" t="s">
        <v>22</v>
      </c>
      <c r="G125" s="7" t="s">
        <v>23</v>
      </c>
      <c r="H125" s="7">
        <v>40</v>
      </c>
      <c r="I125" s="7">
        <v>42</v>
      </c>
      <c r="J125" s="7">
        <v>6.9</v>
      </c>
      <c r="K125" s="7">
        <v>5.6</v>
      </c>
      <c r="L125" s="7">
        <v>8.1</v>
      </c>
      <c r="M125" s="7">
        <v>84</v>
      </c>
      <c r="N125" s="2">
        <f t="shared" si="1"/>
        <v>42432</v>
      </c>
      <c r="O125" s="6">
        <v>5.1456630399999996</v>
      </c>
      <c r="P125" s="5">
        <v>8.9423159051135492</v>
      </c>
      <c r="Q125" s="5">
        <v>1.18362509864013</v>
      </c>
      <c r="R125" s="5">
        <v>1.36993284396087</v>
      </c>
    </row>
    <row r="126" spans="1:18" x14ac:dyDescent="0.4">
      <c r="A126" s="7">
        <v>50566</v>
      </c>
      <c r="B126" s="7">
        <v>219</v>
      </c>
      <c r="C126" s="7">
        <v>5</v>
      </c>
      <c r="D126" s="7">
        <v>136.5</v>
      </c>
      <c r="E126" s="7">
        <v>4.29</v>
      </c>
      <c r="F126" s="7" t="s">
        <v>22</v>
      </c>
      <c r="G126" s="7" t="s">
        <v>23</v>
      </c>
      <c r="H126" s="7">
        <v>40</v>
      </c>
      <c r="I126" s="7">
        <v>43</v>
      </c>
      <c r="J126" s="7">
        <v>8.1999999999999993</v>
      </c>
      <c r="K126" s="7">
        <v>0</v>
      </c>
      <c r="L126" s="7">
        <v>8.4</v>
      </c>
      <c r="M126" s="7">
        <v>84</v>
      </c>
      <c r="N126" s="2">
        <f t="shared" si="1"/>
        <v>42433</v>
      </c>
      <c r="O126" s="6">
        <v>5.3736084999999996</v>
      </c>
      <c r="P126" s="5">
        <v>9.4998740577091407</v>
      </c>
      <c r="Q126" s="5">
        <v>1.0945365533909801</v>
      </c>
      <c r="R126" s="5">
        <v>1.52417626067032</v>
      </c>
    </row>
    <row r="127" spans="1:18" x14ac:dyDescent="0.4">
      <c r="A127" s="7">
        <v>50567</v>
      </c>
      <c r="B127" s="7">
        <v>219</v>
      </c>
      <c r="C127" s="7">
        <v>5</v>
      </c>
      <c r="D127" s="7">
        <v>137.5</v>
      </c>
      <c r="E127" s="7">
        <v>2.42</v>
      </c>
      <c r="F127" s="7" t="s">
        <v>22</v>
      </c>
      <c r="G127" s="7" t="s">
        <v>23</v>
      </c>
      <c r="H127" s="7">
        <v>40</v>
      </c>
      <c r="I127" s="7">
        <v>44</v>
      </c>
      <c r="J127" s="7">
        <v>6.6</v>
      </c>
      <c r="K127" s="7">
        <v>6.9</v>
      </c>
      <c r="L127" s="7">
        <v>8.9</v>
      </c>
      <c r="M127" s="7">
        <v>85</v>
      </c>
      <c r="N127" s="2">
        <f t="shared" si="1"/>
        <v>42434</v>
      </c>
      <c r="O127" s="6">
        <v>4.8742101</v>
      </c>
      <c r="P127" s="5">
        <v>8.9341194778771893</v>
      </c>
      <c r="Q127" s="5">
        <v>1.0587393711877</v>
      </c>
      <c r="R127" s="5">
        <v>1.2352504739124099</v>
      </c>
    </row>
    <row r="128" spans="1:18" x14ac:dyDescent="0.4">
      <c r="A128" s="7">
        <v>50568</v>
      </c>
      <c r="B128" s="7">
        <v>219</v>
      </c>
      <c r="C128" s="7">
        <v>5</v>
      </c>
      <c r="D128" s="7">
        <v>138.5</v>
      </c>
      <c r="E128" s="7">
        <v>3.34</v>
      </c>
      <c r="F128" s="7" t="s">
        <v>22</v>
      </c>
      <c r="G128" s="7" t="s">
        <v>23</v>
      </c>
      <c r="H128" s="7">
        <v>40</v>
      </c>
      <c r="I128" s="7">
        <v>45</v>
      </c>
      <c r="J128" s="7">
        <v>4.4000000000000004</v>
      </c>
      <c r="K128" s="7">
        <v>0</v>
      </c>
      <c r="L128" s="7">
        <v>7.1</v>
      </c>
      <c r="M128" s="7">
        <v>85</v>
      </c>
      <c r="N128" s="2">
        <f t="shared" si="1"/>
        <v>42435</v>
      </c>
      <c r="O128" s="6">
        <v>4.70263908</v>
      </c>
      <c r="P128" s="5">
        <v>11.5779791690187</v>
      </c>
      <c r="Q128" s="5">
        <v>0.90416892843998597</v>
      </c>
      <c r="R128" s="5">
        <v>3.3792400723011702</v>
      </c>
    </row>
    <row r="129" spans="1:18" x14ac:dyDescent="0.4">
      <c r="A129" s="7">
        <v>50569</v>
      </c>
      <c r="B129" s="7">
        <v>219</v>
      </c>
      <c r="C129" s="7">
        <v>5</v>
      </c>
      <c r="D129" s="7">
        <v>139.5</v>
      </c>
      <c r="E129" s="7">
        <v>2.27</v>
      </c>
      <c r="F129" s="7" t="s">
        <v>22</v>
      </c>
      <c r="G129" s="7" t="s">
        <v>23</v>
      </c>
      <c r="H129" s="7">
        <v>40</v>
      </c>
      <c r="I129" s="7">
        <v>46</v>
      </c>
      <c r="J129" s="7">
        <v>3.9</v>
      </c>
      <c r="K129" s="7">
        <v>2.7</v>
      </c>
      <c r="L129" s="7">
        <v>6.3</v>
      </c>
      <c r="M129" s="7">
        <v>84</v>
      </c>
      <c r="N129" s="2">
        <f t="shared" si="1"/>
        <v>42436</v>
      </c>
      <c r="O129" s="6">
        <v>4.3569520199999996</v>
      </c>
      <c r="P129" s="5">
        <v>10.245614052428101</v>
      </c>
      <c r="Q129" s="5">
        <v>1.0870663039623301</v>
      </c>
      <c r="R129" s="5">
        <v>2.4010813715791199</v>
      </c>
    </row>
    <row r="130" spans="1:18" x14ac:dyDescent="0.4">
      <c r="A130" s="7">
        <v>50570</v>
      </c>
      <c r="B130" s="7">
        <v>219</v>
      </c>
      <c r="C130" s="7">
        <v>5</v>
      </c>
      <c r="D130" s="7">
        <v>140.5</v>
      </c>
      <c r="E130" s="7">
        <v>3.22</v>
      </c>
      <c r="F130" s="7" t="s">
        <v>22</v>
      </c>
      <c r="G130" s="7" t="s">
        <v>23</v>
      </c>
      <c r="H130" s="7">
        <v>40</v>
      </c>
      <c r="I130" s="7">
        <v>47</v>
      </c>
      <c r="J130" s="7">
        <v>4.7</v>
      </c>
      <c r="K130" s="7">
        <v>0</v>
      </c>
      <c r="L130" s="7">
        <v>6.4</v>
      </c>
      <c r="M130" s="7">
        <v>57</v>
      </c>
      <c r="N130" s="2">
        <f t="shared" si="1"/>
        <v>42437</v>
      </c>
      <c r="O130" s="6">
        <v>4.3344443000000004</v>
      </c>
      <c r="P130" s="5">
        <v>9.8103742998895704</v>
      </c>
      <c r="Q130" s="5">
        <v>1.1811589025831599</v>
      </c>
      <c r="R130" s="5">
        <v>0.64042955394593304</v>
      </c>
    </row>
    <row r="131" spans="1:18" x14ac:dyDescent="0.4">
      <c r="A131" s="7">
        <v>50571</v>
      </c>
      <c r="B131" s="7">
        <v>219</v>
      </c>
      <c r="C131" s="7">
        <v>5</v>
      </c>
      <c r="D131" s="7">
        <v>141.5</v>
      </c>
      <c r="E131" s="7">
        <v>2.14</v>
      </c>
      <c r="F131" s="7" t="s">
        <v>22</v>
      </c>
      <c r="G131" s="7" t="s">
        <v>23</v>
      </c>
      <c r="H131" s="7">
        <v>40</v>
      </c>
      <c r="I131" s="7">
        <v>48</v>
      </c>
      <c r="J131" s="7">
        <v>5.0999999999999996</v>
      </c>
      <c r="K131" s="7">
        <v>0</v>
      </c>
      <c r="L131" s="7">
        <v>6.2</v>
      </c>
      <c r="M131" s="7">
        <v>79</v>
      </c>
      <c r="N131" s="2">
        <f t="shared" si="1"/>
        <v>42438</v>
      </c>
      <c r="O131" s="6">
        <v>4.7613810399999998</v>
      </c>
      <c r="P131" s="5">
        <v>11.3077553364162</v>
      </c>
      <c r="Q131" s="5">
        <v>1.1068365798941899</v>
      </c>
      <c r="R131" s="5">
        <v>2.6144680518036001</v>
      </c>
    </row>
    <row r="132" spans="1:18" x14ac:dyDescent="0.4">
      <c r="A132" s="7">
        <v>50572</v>
      </c>
      <c r="B132" s="7">
        <v>219</v>
      </c>
      <c r="C132" s="7">
        <v>5</v>
      </c>
      <c r="D132" s="7">
        <v>142.5</v>
      </c>
      <c r="E132" s="7">
        <v>1.37</v>
      </c>
      <c r="F132" s="7" t="s">
        <v>22</v>
      </c>
      <c r="G132" s="7" t="s">
        <v>23</v>
      </c>
      <c r="H132" s="7">
        <v>40</v>
      </c>
      <c r="I132" s="7">
        <v>49</v>
      </c>
      <c r="J132" s="7">
        <v>3.4</v>
      </c>
      <c r="K132" s="7">
        <v>5.6</v>
      </c>
      <c r="L132" s="7">
        <v>5.7</v>
      </c>
      <c r="M132" s="7">
        <v>85</v>
      </c>
      <c r="N132" s="2">
        <f t="shared" ref="N132:N195" si="2">N131+D132-D131</f>
        <v>42439</v>
      </c>
      <c r="O132" s="6">
        <v>5.0118299400000001</v>
      </c>
      <c r="P132" s="5">
        <v>13.0562359267853</v>
      </c>
      <c r="Q132" s="5">
        <v>1.3582053657983699</v>
      </c>
      <c r="R132" s="5">
        <v>3.6789983234723498</v>
      </c>
    </row>
    <row r="133" spans="1:18" x14ac:dyDescent="0.4">
      <c r="A133" s="7">
        <v>50573</v>
      </c>
      <c r="B133" s="7">
        <v>219</v>
      </c>
      <c r="C133" s="7">
        <v>5</v>
      </c>
      <c r="D133" s="7">
        <v>143.5</v>
      </c>
      <c r="E133" s="7">
        <v>2.66</v>
      </c>
      <c r="F133" s="7" t="s">
        <v>22</v>
      </c>
      <c r="G133" s="7" t="s">
        <v>23</v>
      </c>
      <c r="H133" s="7">
        <v>40</v>
      </c>
      <c r="I133" s="7">
        <v>50</v>
      </c>
      <c r="J133" s="7">
        <v>5.2</v>
      </c>
      <c r="K133" s="7">
        <v>0</v>
      </c>
      <c r="L133" s="7">
        <v>6.1</v>
      </c>
      <c r="M133" s="7">
        <v>57</v>
      </c>
      <c r="N133" s="2">
        <f t="shared" si="2"/>
        <v>42440</v>
      </c>
      <c r="O133" s="6">
        <v>5.5240582600000003</v>
      </c>
      <c r="P133" s="5">
        <v>8.6392492970106094</v>
      </c>
      <c r="Q133" s="5">
        <v>1.58432609619566</v>
      </c>
      <c r="R133" s="5">
        <v>1.0174550250182901</v>
      </c>
    </row>
    <row r="134" spans="1:18" x14ac:dyDescent="0.4">
      <c r="A134" s="7">
        <v>50574</v>
      </c>
      <c r="B134" s="7">
        <v>219</v>
      </c>
      <c r="C134" s="7">
        <v>5</v>
      </c>
      <c r="D134" s="7">
        <v>144.5</v>
      </c>
      <c r="E134" s="7">
        <v>6.61</v>
      </c>
      <c r="F134" s="7" t="s">
        <v>22</v>
      </c>
      <c r="G134" s="7" t="s">
        <v>23</v>
      </c>
      <c r="H134" s="7">
        <v>40</v>
      </c>
      <c r="I134" s="7">
        <v>51</v>
      </c>
      <c r="J134" s="7">
        <v>6.6</v>
      </c>
      <c r="K134" s="7">
        <v>0</v>
      </c>
      <c r="L134" s="7">
        <v>7.3</v>
      </c>
      <c r="M134" s="7">
        <v>79</v>
      </c>
      <c r="N134" s="2">
        <f t="shared" si="2"/>
        <v>42441</v>
      </c>
      <c r="O134" s="6">
        <v>6.88979432</v>
      </c>
      <c r="P134" s="5">
        <v>10.3146989825115</v>
      </c>
      <c r="Q134" s="5">
        <v>1.7791883979832801</v>
      </c>
      <c r="R134" s="5">
        <v>1.44337522520203</v>
      </c>
    </row>
    <row r="135" spans="1:18" x14ac:dyDescent="0.4">
      <c r="A135" s="7">
        <v>50575</v>
      </c>
      <c r="B135" s="7">
        <v>219</v>
      </c>
      <c r="C135" s="7">
        <v>5</v>
      </c>
      <c r="D135" s="7">
        <v>145.5</v>
      </c>
      <c r="E135" s="7">
        <v>17.38</v>
      </c>
      <c r="F135" s="7" t="s">
        <v>22</v>
      </c>
      <c r="G135" s="7" t="s">
        <v>23</v>
      </c>
      <c r="H135" s="7">
        <v>40</v>
      </c>
      <c r="I135" s="7">
        <v>52</v>
      </c>
      <c r="J135" s="7">
        <v>6.5</v>
      </c>
      <c r="K135" s="7">
        <v>0</v>
      </c>
      <c r="L135" s="7">
        <v>7.4</v>
      </c>
      <c r="M135" s="7">
        <v>77</v>
      </c>
      <c r="N135" s="2">
        <f t="shared" si="2"/>
        <v>42442</v>
      </c>
      <c r="O135" s="6">
        <v>9.0834037799999994</v>
      </c>
      <c r="P135" s="5">
        <v>11.388068360267701</v>
      </c>
      <c r="Q135" s="5">
        <v>2.3069418975848199</v>
      </c>
      <c r="R135" s="5">
        <v>1.9055793909301699</v>
      </c>
    </row>
    <row r="136" spans="1:18" x14ac:dyDescent="0.4">
      <c r="A136" s="7">
        <v>50576</v>
      </c>
      <c r="B136" s="7">
        <v>219</v>
      </c>
      <c r="C136" s="7">
        <v>5</v>
      </c>
      <c r="D136" s="7">
        <v>146.5</v>
      </c>
      <c r="E136" s="7">
        <v>24.22</v>
      </c>
      <c r="F136" s="7" t="s">
        <v>22</v>
      </c>
      <c r="G136" s="7" t="s">
        <v>23</v>
      </c>
      <c r="H136" s="7">
        <v>40</v>
      </c>
      <c r="I136" s="7">
        <v>53</v>
      </c>
      <c r="J136" s="7">
        <v>4.0999999999999996</v>
      </c>
      <c r="K136" s="7">
        <v>0</v>
      </c>
      <c r="L136" s="7">
        <v>6.3</v>
      </c>
      <c r="M136" s="7">
        <v>55</v>
      </c>
      <c r="N136" s="2">
        <f t="shared" si="2"/>
        <v>42443</v>
      </c>
      <c r="O136" s="6">
        <v>10.45398632</v>
      </c>
      <c r="P136" s="5">
        <v>15.8926629383677</v>
      </c>
      <c r="Q136" s="5">
        <v>2.7938911760445899</v>
      </c>
      <c r="R136" s="5">
        <v>2.59351405743993</v>
      </c>
    </row>
    <row r="137" spans="1:18" x14ac:dyDescent="0.4">
      <c r="A137" s="7">
        <v>50577</v>
      </c>
      <c r="B137" s="7">
        <v>219</v>
      </c>
      <c r="C137" s="7">
        <v>5</v>
      </c>
      <c r="D137" s="7">
        <v>147.5</v>
      </c>
      <c r="E137" s="7">
        <v>32.21</v>
      </c>
      <c r="F137" s="7" t="s">
        <v>22</v>
      </c>
      <c r="G137" s="7" t="s">
        <v>23</v>
      </c>
      <c r="H137" s="7">
        <v>40</v>
      </c>
      <c r="I137" s="7">
        <v>54</v>
      </c>
      <c r="J137" s="7">
        <v>7.3</v>
      </c>
      <c r="K137" s="7">
        <v>0</v>
      </c>
      <c r="L137" s="7">
        <v>7.9</v>
      </c>
      <c r="M137" s="7">
        <v>74</v>
      </c>
      <c r="N137" s="2">
        <f t="shared" si="2"/>
        <v>42444</v>
      </c>
      <c r="O137" s="6">
        <v>12.98309648</v>
      </c>
      <c r="P137" s="5">
        <v>12.7961926363785</v>
      </c>
      <c r="Q137" s="5">
        <v>4.28352613593316</v>
      </c>
      <c r="R137" s="5">
        <v>2.1261556448235899</v>
      </c>
    </row>
    <row r="138" spans="1:18" x14ac:dyDescent="0.4">
      <c r="A138" s="7">
        <v>50578</v>
      </c>
      <c r="B138" s="7">
        <v>219</v>
      </c>
      <c r="C138" s="7">
        <v>5</v>
      </c>
      <c r="D138" s="7">
        <v>148.5</v>
      </c>
      <c r="E138" s="7">
        <v>27.59</v>
      </c>
      <c r="F138" s="7" t="s">
        <v>22</v>
      </c>
      <c r="G138" s="7" t="s">
        <v>23</v>
      </c>
      <c r="H138" s="7">
        <v>40</v>
      </c>
      <c r="I138" s="7">
        <v>55</v>
      </c>
      <c r="J138" s="7">
        <v>8.3000000000000007</v>
      </c>
      <c r="K138" s="7">
        <v>5</v>
      </c>
      <c r="L138" s="7">
        <v>9.1</v>
      </c>
      <c r="M138" s="7">
        <v>73</v>
      </c>
      <c r="N138" s="2">
        <f t="shared" si="2"/>
        <v>42445</v>
      </c>
      <c r="O138" s="6">
        <v>13.9212548</v>
      </c>
      <c r="P138" s="5">
        <v>11.046450917614401</v>
      </c>
      <c r="Q138" s="5">
        <v>4.5502199597748803</v>
      </c>
      <c r="R138" s="5">
        <v>1.52994305861254</v>
      </c>
    </row>
    <row r="139" spans="1:18" x14ac:dyDescent="0.4">
      <c r="A139" s="7">
        <v>50579</v>
      </c>
      <c r="B139" s="7">
        <v>219</v>
      </c>
      <c r="C139" s="7">
        <v>5</v>
      </c>
      <c r="D139" s="7">
        <v>149.5</v>
      </c>
      <c r="E139" s="7">
        <v>26.42</v>
      </c>
      <c r="F139" s="7" t="s">
        <v>22</v>
      </c>
      <c r="G139" s="7" t="s">
        <v>23</v>
      </c>
      <c r="H139" s="7">
        <v>40</v>
      </c>
      <c r="I139" s="7">
        <v>56</v>
      </c>
      <c r="J139" s="7">
        <v>3.4</v>
      </c>
      <c r="K139" s="7">
        <v>0</v>
      </c>
      <c r="L139" s="7">
        <v>6.6</v>
      </c>
      <c r="M139" s="7">
        <v>77</v>
      </c>
      <c r="N139" s="2">
        <f t="shared" si="2"/>
        <v>42446</v>
      </c>
      <c r="O139" s="6">
        <v>13.472979799999999</v>
      </c>
      <c r="P139" s="5">
        <v>16.4562130467808</v>
      </c>
      <c r="Q139" s="5">
        <v>4.3408598603772299</v>
      </c>
      <c r="R139" s="5">
        <v>4.5417028781859701</v>
      </c>
    </row>
    <row r="140" spans="1:18" x14ac:dyDescent="0.4">
      <c r="A140" s="7">
        <v>50580</v>
      </c>
      <c r="B140" s="7">
        <v>219</v>
      </c>
      <c r="C140" s="7">
        <v>5</v>
      </c>
      <c r="D140" s="7">
        <v>150.5</v>
      </c>
      <c r="E140" s="7">
        <v>22.69</v>
      </c>
      <c r="F140" s="7" t="s">
        <v>22</v>
      </c>
      <c r="G140" s="7" t="s">
        <v>23</v>
      </c>
      <c r="H140" s="7">
        <v>40</v>
      </c>
      <c r="I140" s="7">
        <v>57</v>
      </c>
      <c r="J140" s="7">
        <v>5.4</v>
      </c>
      <c r="K140" s="7">
        <v>0</v>
      </c>
      <c r="L140" s="7">
        <v>6.6</v>
      </c>
      <c r="M140" s="7">
        <v>54</v>
      </c>
      <c r="N140" s="2">
        <f t="shared" si="2"/>
        <v>42447</v>
      </c>
      <c r="O140" s="6">
        <v>12.44433332</v>
      </c>
      <c r="P140" s="5">
        <v>12.711149087109799</v>
      </c>
      <c r="Q140" s="5">
        <v>4.0125076983666998</v>
      </c>
      <c r="R140" s="5">
        <v>1.33397485663618</v>
      </c>
    </row>
    <row r="141" spans="1:18" x14ac:dyDescent="0.4">
      <c r="A141" s="7">
        <v>50581</v>
      </c>
      <c r="B141" s="7">
        <v>219</v>
      </c>
      <c r="C141" s="7">
        <v>5</v>
      </c>
      <c r="D141" s="7">
        <v>151.5</v>
      </c>
      <c r="E141" s="7">
        <v>17.7</v>
      </c>
      <c r="F141" s="7" t="s">
        <v>22</v>
      </c>
      <c r="G141" s="7" t="s">
        <v>23</v>
      </c>
      <c r="H141" s="7">
        <v>40</v>
      </c>
      <c r="I141" s="7">
        <v>58</v>
      </c>
      <c r="J141" s="7">
        <v>5</v>
      </c>
      <c r="K141" s="7">
        <v>0</v>
      </c>
      <c r="L141" s="7">
        <v>6.7</v>
      </c>
      <c r="M141" s="7">
        <v>76</v>
      </c>
      <c r="N141" s="2">
        <f t="shared" si="2"/>
        <v>42448</v>
      </c>
      <c r="O141" s="6">
        <v>12.4007386</v>
      </c>
      <c r="P141" s="5">
        <v>13.9583968203459</v>
      </c>
      <c r="Q141" s="5">
        <v>4.1766285332465598</v>
      </c>
      <c r="R141" s="5">
        <v>3.5663711320757301</v>
      </c>
    </row>
    <row r="142" spans="1:18" x14ac:dyDescent="0.4">
      <c r="A142" s="7">
        <v>50582</v>
      </c>
      <c r="B142" s="7">
        <v>219</v>
      </c>
      <c r="C142" s="7">
        <v>5</v>
      </c>
      <c r="D142" s="7">
        <v>152.5</v>
      </c>
      <c r="E142" s="7">
        <v>14.25</v>
      </c>
      <c r="F142" s="7" t="s">
        <v>22</v>
      </c>
      <c r="G142" s="7" t="s">
        <v>23</v>
      </c>
      <c r="H142" s="7">
        <v>40</v>
      </c>
      <c r="I142" s="7">
        <v>59</v>
      </c>
      <c r="J142" s="7">
        <v>10</v>
      </c>
      <c r="K142" s="7">
        <v>0</v>
      </c>
      <c r="L142" s="7">
        <v>10.3</v>
      </c>
      <c r="M142" s="7">
        <v>74</v>
      </c>
      <c r="N142" s="2">
        <f t="shared" si="2"/>
        <v>42449</v>
      </c>
      <c r="O142" s="6">
        <v>13.1733172</v>
      </c>
      <c r="P142" s="5">
        <v>11.4400109006144</v>
      </c>
      <c r="Q142" s="5">
        <v>4.7283573756756399</v>
      </c>
      <c r="R142" s="5">
        <v>1.1598430678718701</v>
      </c>
    </row>
    <row r="143" spans="1:18" x14ac:dyDescent="0.4">
      <c r="A143" s="7">
        <v>50583</v>
      </c>
      <c r="B143" s="7">
        <v>219</v>
      </c>
      <c r="C143" s="7">
        <v>5</v>
      </c>
      <c r="D143" s="7">
        <v>153.5</v>
      </c>
      <c r="E143" s="7">
        <v>18.350000000000001</v>
      </c>
      <c r="F143" s="7" t="s">
        <v>22</v>
      </c>
      <c r="G143" s="7" t="s">
        <v>23</v>
      </c>
      <c r="H143" s="7">
        <v>40</v>
      </c>
      <c r="I143" s="7">
        <v>60</v>
      </c>
      <c r="J143" s="7">
        <v>8.1999999999999993</v>
      </c>
      <c r="K143" s="7">
        <v>1</v>
      </c>
      <c r="L143" s="7">
        <v>10.3</v>
      </c>
      <c r="M143" s="7">
        <v>53</v>
      </c>
      <c r="N143" s="2">
        <f t="shared" si="2"/>
        <v>42450</v>
      </c>
      <c r="O143" s="6">
        <v>12.4610892</v>
      </c>
      <c r="P143" s="5">
        <v>7.11161947862088</v>
      </c>
      <c r="Q143" s="5">
        <v>4.4571563242766903</v>
      </c>
      <c r="R143" s="5">
        <v>1.0463410467001699</v>
      </c>
    </row>
    <row r="144" spans="1:18" x14ac:dyDescent="0.4">
      <c r="A144" s="7">
        <v>50584</v>
      </c>
      <c r="B144" s="7">
        <v>219</v>
      </c>
      <c r="C144" s="7">
        <v>5</v>
      </c>
      <c r="D144" s="7">
        <v>154.5</v>
      </c>
      <c r="E144" s="7">
        <v>11.57</v>
      </c>
      <c r="F144" s="7" t="s">
        <v>22</v>
      </c>
      <c r="G144" s="7" t="s">
        <v>23</v>
      </c>
      <c r="H144" s="7">
        <v>40</v>
      </c>
      <c r="I144" s="7">
        <v>61</v>
      </c>
      <c r="J144" s="7">
        <v>7.6</v>
      </c>
      <c r="K144" s="7">
        <v>0</v>
      </c>
      <c r="L144" s="7">
        <v>9.3000000000000007</v>
      </c>
      <c r="M144" s="7">
        <v>75</v>
      </c>
      <c r="N144" s="2">
        <f t="shared" si="2"/>
        <v>42451</v>
      </c>
      <c r="O144" s="6">
        <v>12.24436586</v>
      </c>
      <c r="P144" s="5">
        <v>10.497287816712801</v>
      </c>
      <c r="Q144" s="5">
        <v>4.6100479107356698</v>
      </c>
      <c r="R144" s="5">
        <v>1.05323004067712</v>
      </c>
    </row>
    <row r="145" spans="1:18" x14ac:dyDescent="0.4">
      <c r="A145" s="7">
        <v>50585</v>
      </c>
      <c r="B145" s="7">
        <v>219</v>
      </c>
      <c r="C145" s="7">
        <v>5</v>
      </c>
      <c r="D145" s="7">
        <v>155.5</v>
      </c>
      <c r="E145" s="7">
        <v>8.83</v>
      </c>
      <c r="F145" s="7" t="s">
        <v>22</v>
      </c>
      <c r="G145" s="7" t="s">
        <v>23</v>
      </c>
      <c r="H145" s="7">
        <v>40</v>
      </c>
      <c r="I145" s="7">
        <v>62</v>
      </c>
      <c r="J145" s="7">
        <v>7.7</v>
      </c>
      <c r="K145" s="7">
        <v>0</v>
      </c>
      <c r="L145" s="7">
        <v>9.4</v>
      </c>
      <c r="M145" s="7">
        <v>72</v>
      </c>
      <c r="N145" s="2">
        <f t="shared" si="2"/>
        <v>42452</v>
      </c>
      <c r="O145" s="6">
        <v>11.942179919999999</v>
      </c>
      <c r="P145" s="5">
        <v>9.8896050479624602</v>
      </c>
      <c r="Q145" s="5">
        <v>4.7153341676085203</v>
      </c>
      <c r="R145" s="5">
        <v>0.74756766701398603</v>
      </c>
    </row>
    <row r="146" spans="1:18" x14ac:dyDescent="0.4">
      <c r="A146" s="7">
        <v>50586</v>
      </c>
      <c r="B146" s="7">
        <v>219</v>
      </c>
      <c r="C146" s="7">
        <v>5</v>
      </c>
      <c r="D146" s="7">
        <v>156.5</v>
      </c>
      <c r="E146" s="7">
        <v>9.61</v>
      </c>
      <c r="F146" s="7" t="s">
        <v>22</v>
      </c>
      <c r="G146" s="7" t="s">
        <v>23</v>
      </c>
      <c r="H146" s="7">
        <v>40</v>
      </c>
      <c r="I146" s="7">
        <v>63</v>
      </c>
      <c r="J146" s="7">
        <v>7.3</v>
      </c>
      <c r="K146" s="7">
        <v>0</v>
      </c>
      <c r="L146" s="7">
        <v>9.1</v>
      </c>
      <c r="M146" s="7">
        <v>70</v>
      </c>
      <c r="N146" s="2">
        <f t="shared" si="2"/>
        <v>42453</v>
      </c>
      <c r="O146" s="6">
        <v>11.419431660000001</v>
      </c>
      <c r="P146" s="5">
        <v>9.4262641942517291</v>
      </c>
      <c r="Q146" s="5">
        <v>4.65192035945807</v>
      </c>
      <c r="R146" s="5">
        <v>0.476388468976226</v>
      </c>
    </row>
    <row r="147" spans="1:18" x14ac:dyDescent="0.4">
      <c r="A147" s="7">
        <v>50587</v>
      </c>
      <c r="B147" s="7">
        <v>219</v>
      </c>
      <c r="C147" s="7">
        <v>5</v>
      </c>
      <c r="D147" s="7">
        <v>157.5</v>
      </c>
      <c r="E147" s="7">
        <v>9.06</v>
      </c>
      <c r="F147" s="7" t="s">
        <v>22</v>
      </c>
      <c r="G147" s="7" t="s">
        <v>23</v>
      </c>
      <c r="H147" s="7">
        <v>40</v>
      </c>
      <c r="I147" s="7">
        <v>64</v>
      </c>
      <c r="J147" s="7">
        <v>6.6</v>
      </c>
      <c r="K147" s="7">
        <v>0</v>
      </c>
      <c r="L147" s="7">
        <v>7.8</v>
      </c>
      <c r="M147" s="7">
        <v>68</v>
      </c>
      <c r="N147" s="2">
        <f t="shared" si="2"/>
        <v>42454</v>
      </c>
      <c r="O147" s="6">
        <v>10.579671899999999</v>
      </c>
      <c r="P147" s="5">
        <v>8.1609276864345706</v>
      </c>
      <c r="Q147" s="5">
        <v>4.3197909177223801</v>
      </c>
      <c r="R147" s="5">
        <v>0.72575630855385198</v>
      </c>
    </row>
    <row r="148" spans="1:18" x14ac:dyDescent="0.4">
      <c r="A148" s="7">
        <v>50588</v>
      </c>
      <c r="B148" s="7">
        <v>219</v>
      </c>
      <c r="C148" s="7">
        <v>5</v>
      </c>
      <c r="D148" s="7">
        <v>158.5</v>
      </c>
      <c r="E148" s="7">
        <v>8.06</v>
      </c>
      <c r="F148" s="7" t="s">
        <v>22</v>
      </c>
      <c r="G148" s="7" t="s">
        <v>23</v>
      </c>
      <c r="H148" s="7">
        <v>40</v>
      </c>
      <c r="I148" s="7">
        <v>65</v>
      </c>
      <c r="J148" s="7">
        <v>10.199999999999999</v>
      </c>
      <c r="K148" s="7">
        <v>0</v>
      </c>
      <c r="L148" s="7">
        <v>10.3</v>
      </c>
      <c r="M148" s="7">
        <v>68</v>
      </c>
      <c r="N148" s="2">
        <f t="shared" si="2"/>
        <v>42455</v>
      </c>
      <c r="O148" s="6">
        <v>10.1062467</v>
      </c>
      <c r="P148" s="5">
        <v>9.2522098097274199</v>
      </c>
      <c r="Q148" s="5">
        <v>4.0921471594325904</v>
      </c>
      <c r="R148" s="5">
        <v>0.173970083177728</v>
      </c>
    </row>
    <row r="149" spans="1:18" x14ac:dyDescent="0.4">
      <c r="A149" s="7">
        <v>50589</v>
      </c>
      <c r="B149" s="7">
        <v>219</v>
      </c>
      <c r="C149" s="7">
        <v>5</v>
      </c>
      <c r="D149" s="7">
        <v>159.5</v>
      </c>
      <c r="E149" s="7">
        <v>13.87</v>
      </c>
      <c r="F149" s="7" t="s">
        <v>22</v>
      </c>
      <c r="G149" s="7" t="s">
        <v>23</v>
      </c>
      <c r="H149" s="7">
        <v>40</v>
      </c>
      <c r="I149" s="7">
        <v>66</v>
      </c>
      <c r="J149" s="7">
        <v>13</v>
      </c>
      <c r="K149" s="7">
        <v>1.8</v>
      </c>
      <c r="L149" s="7">
        <v>13.3</v>
      </c>
      <c r="M149" s="7">
        <v>66</v>
      </c>
      <c r="N149" s="2">
        <f t="shared" si="2"/>
        <v>42456</v>
      </c>
      <c r="O149" s="6">
        <v>9.77125004</v>
      </c>
      <c r="P149" s="5">
        <v>6.4447640877129997</v>
      </c>
      <c r="Q149" s="5">
        <v>3.9142411690399901</v>
      </c>
      <c r="R149" s="5">
        <v>0.54203200851002697</v>
      </c>
    </row>
    <row r="150" spans="1:18" x14ac:dyDescent="0.4">
      <c r="A150" s="7">
        <v>50590</v>
      </c>
      <c r="B150" s="7">
        <v>219</v>
      </c>
      <c r="C150" s="7">
        <v>5</v>
      </c>
      <c r="D150" s="7">
        <v>160.5</v>
      </c>
      <c r="E150" s="7">
        <v>8.4600000000000009</v>
      </c>
      <c r="F150" s="7" t="s">
        <v>22</v>
      </c>
      <c r="G150" s="7" t="s">
        <v>23</v>
      </c>
      <c r="H150" s="7">
        <v>40</v>
      </c>
      <c r="I150" s="7">
        <v>67</v>
      </c>
      <c r="J150" s="7">
        <v>8.5</v>
      </c>
      <c r="K150" s="7">
        <v>0</v>
      </c>
      <c r="L150" s="7">
        <v>9.6</v>
      </c>
      <c r="M150" s="7">
        <v>70</v>
      </c>
      <c r="N150" s="2">
        <f t="shared" si="2"/>
        <v>42457</v>
      </c>
      <c r="O150" s="6">
        <v>9.1871409600000007</v>
      </c>
      <c r="P150" s="5">
        <v>9.4697070187673198</v>
      </c>
      <c r="Q150" s="5">
        <v>3.7974373305732101</v>
      </c>
      <c r="R150" s="5">
        <v>0.25443968112535298</v>
      </c>
    </row>
    <row r="151" spans="1:18" x14ac:dyDescent="0.4">
      <c r="A151" s="7">
        <v>50591</v>
      </c>
      <c r="B151" s="7">
        <v>219</v>
      </c>
      <c r="C151" s="7">
        <v>5</v>
      </c>
      <c r="D151" s="7">
        <v>161.5</v>
      </c>
      <c r="E151" s="7">
        <v>12.77</v>
      </c>
      <c r="F151" s="7" t="s">
        <v>22</v>
      </c>
      <c r="G151" s="7" t="s">
        <v>23</v>
      </c>
      <c r="H151" s="7">
        <v>40</v>
      </c>
      <c r="I151" s="7">
        <v>1</v>
      </c>
      <c r="J151" s="7">
        <v>10.5</v>
      </c>
      <c r="K151" s="7">
        <v>0</v>
      </c>
      <c r="L151" s="7">
        <v>11.4</v>
      </c>
      <c r="M151" s="7">
        <v>67</v>
      </c>
      <c r="N151" s="2">
        <f t="shared" si="2"/>
        <v>42458</v>
      </c>
      <c r="O151" s="6">
        <v>10.834039900000001</v>
      </c>
      <c r="P151" s="5">
        <v>8.4568933204707104</v>
      </c>
      <c r="Q151" s="5">
        <v>4.65641460223463</v>
      </c>
      <c r="R151" s="5">
        <v>0.216453655028015</v>
      </c>
    </row>
    <row r="152" spans="1:18" x14ac:dyDescent="0.4">
      <c r="A152" s="7">
        <v>50592</v>
      </c>
      <c r="B152" s="7">
        <v>219</v>
      </c>
      <c r="C152" s="7">
        <v>5</v>
      </c>
      <c r="D152" s="7">
        <v>162.5</v>
      </c>
      <c r="E152" s="7">
        <v>22.39</v>
      </c>
      <c r="F152" s="7" t="s">
        <v>22</v>
      </c>
      <c r="G152" s="7" t="s">
        <v>23</v>
      </c>
      <c r="H152" s="7">
        <v>40</v>
      </c>
      <c r="I152" s="7">
        <v>2</v>
      </c>
      <c r="J152" s="7">
        <v>10.4</v>
      </c>
      <c r="K152" s="7">
        <v>0</v>
      </c>
      <c r="L152" s="7">
        <v>11</v>
      </c>
      <c r="M152" s="7">
        <v>67</v>
      </c>
      <c r="N152" s="2">
        <f t="shared" si="2"/>
        <v>42459</v>
      </c>
      <c r="O152" s="6">
        <v>13.07713004</v>
      </c>
      <c r="P152" s="5">
        <v>8.9018466533759497</v>
      </c>
      <c r="Q152" s="5">
        <v>6.3079348188686399</v>
      </c>
      <c r="R152" s="5">
        <v>0.16023044867911301</v>
      </c>
    </row>
    <row r="153" spans="1:18" x14ac:dyDescent="0.4">
      <c r="A153" s="7">
        <v>50593</v>
      </c>
      <c r="B153" s="7">
        <v>219</v>
      </c>
      <c r="C153" s="7">
        <v>5</v>
      </c>
      <c r="D153" s="7">
        <v>163.5</v>
      </c>
      <c r="E153" s="7">
        <v>16.510000000000002</v>
      </c>
      <c r="F153" s="7" t="s">
        <v>22</v>
      </c>
      <c r="G153" s="7" t="s">
        <v>23</v>
      </c>
      <c r="H153" s="7">
        <v>40</v>
      </c>
      <c r="I153" s="7">
        <v>3</v>
      </c>
      <c r="J153" s="7">
        <v>12.5</v>
      </c>
      <c r="K153" s="7">
        <v>0</v>
      </c>
      <c r="L153" s="7">
        <v>12.9</v>
      </c>
      <c r="M153" s="7">
        <v>64</v>
      </c>
      <c r="N153" s="2">
        <f t="shared" si="2"/>
        <v>42460</v>
      </c>
      <c r="O153" s="6">
        <v>13.7006052</v>
      </c>
      <c r="P153" s="5">
        <v>6.4202076192139996</v>
      </c>
      <c r="Q153" s="5">
        <v>6.7451755672704801</v>
      </c>
      <c r="R153" s="5">
        <v>0.34436458527380198</v>
      </c>
    </row>
    <row r="154" spans="1:18" x14ac:dyDescent="0.4">
      <c r="A154" s="7">
        <v>50594</v>
      </c>
      <c r="B154" s="7">
        <v>219</v>
      </c>
      <c r="C154" s="7">
        <v>5</v>
      </c>
      <c r="D154" s="7">
        <v>164.5</v>
      </c>
      <c r="E154" s="7">
        <v>9.83</v>
      </c>
      <c r="F154" s="7" t="s">
        <v>22</v>
      </c>
      <c r="G154" s="7" t="s">
        <v>23</v>
      </c>
      <c r="H154" s="7">
        <v>40</v>
      </c>
      <c r="I154" s="7">
        <v>4</v>
      </c>
      <c r="J154" s="7">
        <v>6.9</v>
      </c>
      <c r="K154" s="7">
        <v>3.9</v>
      </c>
      <c r="L154" s="7">
        <v>9.6999999999999993</v>
      </c>
      <c r="M154" s="7">
        <v>74</v>
      </c>
      <c r="N154" s="2">
        <f t="shared" si="2"/>
        <v>42461</v>
      </c>
      <c r="O154" s="6">
        <v>12.443846199999999</v>
      </c>
      <c r="P154" s="5">
        <v>9.8778616769944492</v>
      </c>
      <c r="Q154" s="5">
        <v>5.7747061075499904</v>
      </c>
      <c r="R154" s="5">
        <v>0.76929343615831303</v>
      </c>
    </row>
    <row r="155" spans="1:18" x14ac:dyDescent="0.4">
      <c r="A155" s="7">
        <v>50595</v>
      </c>
      <c r="B155" s="7">
        <v>219</v>
      </c>
      <c r="C155" s="7">
        <v>5</v>
      </c>
      <c r="D155" s="7">
        <v>165.5</v>
      </c>
      <c r="E155" s="7">
        <v>13.7</v>
      </c>
      <c r="F155" s="7" t="s">
        <v>22</v>
      </c>
      <c r="G155" s="7" t="s">
        <v>23</v>
      </c>
      <c r="H155" s="7">
        <v>40</v>
      </c>
      <c r="I155" s="7">
        <v>5</v>
      </c>
      <c r="J155" s="7">
        <v>4.3</v>
      </c>
      <c r="K155" s="7">
        <v>0</v>
      </c>
      <c r="L155" s="7">
        <v>7</v>
      </c>
      <c r="M155" s="7">
        <v>73</v>
      </c>
      <c r="N155" s="2">
        <f t="shared" si="2"/>
        <v>42462</v>
      </c>
      <c r="O155" s="6">
        <v>10.7523862</v>
      </c>
      <c r="P155" s="5">
        <v>14.062327514285199</v>
      </c>
      <c r="Q155" s="5">
        <v>4.8827033639048496</v>
      </c>
      <c r="R155" s="5">
        <v>2.9625697063554499</v>
      </c>
    </row>
    <row r="156" spans="1:18" x14ac:dyDescent="0.4">
      <c r="A156" s="7">
        <v>50596</v>
      </c>
      <c r="B156" s="7">
        <v>219</v>
      </c>
      <c r="C156" s="7">
        <v>5</v>
      </c>
      <c r="D156" s="7">
        <v>166.5</v>
      </c>
      <c r="E156" s="7">
        <v>17.03</v>
      </c>
      <c r="F156" s="7" t="s">
        <v>22</v>
      </c>
      <c r="G156" s="7" t="s">
        <v>23</v>
      </c>
      <c r="H156" s="7">
        <v>40</v>
      </c>
      <c r="I156" s="7">
        <v>6</v>
      </c>
      <c r="J156" s="7">
        <v>11.9</v>
      </c>
      <c r="K156" s="7">
        <v>0</v>
      </c>
      <c r="L156" s="7">
        <v>12.1</v>
      </c>
      <c r="M156" s="7">
        <v>69</v>
      </c>
      <c r="N156" s="2">
        <f t="shared" si="2"/>
        <v>42463</v>
      </c>
      <c r="O156" s="6">
        <v>10.1418035</v>
      </c>
      <c r="P156" s="5">
        <v>8.7990974367747903</v>
      </c>
      <c r="Q156" s="5">
        <v>4.3602073069119403</v>
      </c>
      <c r="R156" s="5">
        <v>0.44928319702047398</v>
      </c>
    </row>
    <row r="157" spans="1:18" x14ac:dyDescent="0.4">
      <c r="A157" s="7">
        <v>50597</v>
      </c>
      <c r="B157" s="7">
        <v>219</v>
      </c>
      <c r="C157" s="7">
        <v>5</v>
      </c>
      <c r="D157" s="7">
        <v>167.5</v>
      </c>
      <c r="E157" s="7">
        <v>14.29</v>
      </c>
      <c r="F157" s="7" t="s">
        <v>22</v>
      </c>
      <c r="G157" s="7" t="s">
        <v>23</v>
      </c>
      <c r="H157" s="7">
        <v>40</v>
      </c>
      <c r="I157" s="7">
        <v>7</v>
      </c>
      <c r="J157" s="7">
        <v>11.4</v>
      </c>
      <c r="K157" s="7">
        <v>0</v>
      </c>
      <c r="L157" s="7">
        <v>13.3</v>
      </c>
      <c r="M157" s="7">
        <v>68</v>
      </c>
      <c r="N157" s="2">
        <f t="shared" si="2"/>
        <v>42464</v>
      </c>
      <c r="O157" s="6">
        <v>9.5050272400000004</v>
      </c>
      <c r="P157" s="5">
        <v>8.1684158507290796</v>
      </c>
      <c r="Q157" s="5">
        <v>4.1169991179285397</v>
      </c>
      <c r="R157" s="5">
        <v>0.22844683179560099</v>
      </c>
    </row>
    <row r="158" spans="1:18" x14ac:dyDescent="0.4">
      <c r="A158" s="7">
        <v>50598</v>
      </c>
      <c r="B158" s="7">
        <v>219</v>
      </c>
      <c r="C158" s="7">
        <v>5</v>
      </c>
      <c r="D158" s="7">
        <v>168.5</v>
      </c>
      <c r="E158" s="7">
        <v>5.0599999999999996</v>
      </c>
      <c r="F158" s="7" t="s">
        <v>22</v>
      </c>
      <c r="G158" s="7" t="s">
        <v>23</v>
      </c>
      <c r="H158" s="7">
        <v>40</v>
      </c>
      <c r="I158" s="7">
        <v>8</v>
      </c>
      <c r="J158" s="7">
        <v>11.5</v>
      </c>
      <c r="K158" s="7">
        <v>11.2</v>
      </c>
      <c r="L158" s="7">
        <v>12.9</v>
      </c>
      <c r="M158" s="7">
        <v>72</v>
      </c>
      <c r="N158" s="2">
        <f t="shared" si="2"/>
        <v>42465</v>
      </c>
      <c r="O158" s="6">
        <v>9.5205057199999992</v>
      </c>
      <c r="P158" s="5">
        <v>9.1980278236172808</v>
      </c>
      <c r="Q158" s="5">
        <v>5.5111926604770396</v>
      </c>
      <c r="R158" s="5">
        <v>0.89680407077799795</v>
      </c>
    </row>
    <row r="159" spans="1:18" x14ac:dyDescent="0.4">
      <c r="A159" s="7">
        <v>50599</v>
      </c>
      <c r="B159" s="7">
        <v>219</v>
      </c>
      <c r="C159" s="7">
        <v>5</v>
      </c>
      <c r="D159" s="7">
        <v>169.5</v>
      </c>
      <c r="E159" s="7">
        <v>7.37</v>
      </c>
      <c r="F159" s="7" t="s">
        <v>22</v>
      </c>
      <c r="G159" s="7" t="s">
        <v>23</v>
      </c>
      <c r="H159" s="7">
        <v>40</v>
      </c>
      <c r="I159" s="7">
        <v>9</v>
      </c>
      <c r="J159" s="7">
        <v>10.8</v>
      </c>
      <c r="K159" s="7">
        <v>0</v>
      </c>
      <c r="L159" s="7">
        <v>11.6</v>
      </c>
      <c r="M159" s="7">
        <v>77</v>
      </c>
      <c r="N159" s="2">
        <f t="shared" si="2"/>
        <v>42466</v>
      </c>
      <c r="O159" s="6">
        <v>10.72040934</v>
      </c>
      <c r="P159" s="5">
        <v>9.1307633507135399</v>
      </c>
      <c r="Q159" s="5">
        <v>4.4683851353246302</v>
      </c>
      <c r="R159" s="5">
        <v>1.4472914620913699</v>
      </c>
    </row>
    <row r="160" spans="1:18" x14ac:dyDescent="0.4">
      <c r="A160" s="7">
        <v>50600</v>
      </c>
      <c r="B160" s="7">
        <v>219</v>
      </c>
      <c r="C160" s="7">
        <v>5</v>
      </c>
      <c r="D160" s="7">
        <v>170.5</v>
      </c>
      <c r="E160" s="7">
        <v>5.55</v>
      </c>
      <c r="F160" s="7" t="s">
        <v>22</v>
      </c>
      <c r="G160" s="7" t="s">
        <v>23</v>
      </c>
      <c r="H160" s="7">
        <v>40</v>
      </c>
      <c r="I160" s="7">
        <v>10</v>
      </c>
      <c r="J160" s="7">
        <v>10.7</v>
      </c>
      <c r="K160" s="7">
        <v>0</v>
      </c>
      <c r="L160" s="7">
        <v>11.7</v>
      </c>
      <c r="M160" s="7">
        <v>72</v>
      </c>
      <c r="N160" s="2">
        <f t="shared" si="2"/>
        <v>42467</v>
      </c>
      <c r="O160" s="6">
        <v>9.4514463200000005</v>
      </c>
      <c r="P160" s="5">
        <v>8.2237645101562595</v>
      </c>
      <c r="Q160" s="5">
        <v>3.98148330923547</v>
      </c>
      <c r="R160" s="5">
        <v>0.34974555882383201</v>
      </c>
    </row>
    <row r="161" spans="1:18" x14ac:dyDescent="0.4">
      <c r="A161" s="7">
        <v>50601</v>
      </c>
      <c r="B161" s="7">
        <v>219</v>
      </c>
      <c r="C161" s="7">
        <v>5</v>
      </c>
      <c r="D161" s="7">
        <v>171.5</v>
      </c>
      <c r="E161" s="7">
        <v>5.76</v>
      </c>
      <c r="F161" s="7" t="s">
        <v>22</v>
      </c>
      <c r="G161" s="7" t="s">
        <v>23</v>
      </c>
      <c r="H161" s="7">
        <v>40</v>
      </c>
      <c r="I161" s="7">
        <v>11</v>
      </c>
      <c r="J161" s="7">
        <v>6.5</v>
      </c>
      <c r="K161" s="7">
        <v>0</v>
      </c>
      <c r="L161" s="7">
        <v>9.3000000000000007</v>
      </c>
      <c r="M161" s="7">
        <v>74</v>
      </c>
      <c r="N161" s="2">
        <f t="shared" si="2"/>
        <v>42468</v>
      </c>
      <c r="O161" s="6">
        <v>7.4041361999999999</v>
      </c>
      <c r="P161" s="5">
        <v>10.9888443826743</v>
      </c>
      <c r="Q161" s="5">
        <v>3.0965962784215502</v>
      </c>
      <c r="R161" s="5">
        <v>1.2029356086437699</v>
      </c>
    </row>
    <row r="162" spans="1:18" x14ac:dyDescent="0.4">
      <c r="A162" s="7">
        <v>50602</v>
      </c>
      <c r="B162" s="7">
        <v>219</v>
      </c>
      <c r="C162" s="7">
        <v>5</v>
      </c>
      <c r="D162" s="7">
        <v>172.5</v>
      </c>
      <c r="E162" s="7">
        <v>4.42</v>
      </c>
      <c r="F162" s="7" t="s">
        <v>22</v>
      </c>
      <c r="G162" s="7" t="s">
        <v>23</v>
      </c>
      <c r="H162" s="7">
        <v>40</v>
      </c>
      <c r="I162" s="7">
        <v>12</v>
      </c>
      <c r="J162" s="7">
        <v>7.3</v>
      </c>
      <c r="K162" s="7">
        <v>3.1</v>
      </c>
      <c r="L162" s="7">
        <v>9.5</v>
      </c>
      <c r="M162" s="7">
        <v>79</v>
      </c>
      <c r="N162" s="2">
        <f t="shared" si="2"/>
        <v>42469</v>
      </c>
      <c r="O162" s="6">
        <v>6.1579101600000001</v>
      </c>
      <c r="P162" s="5">
        <v>9.15702587900571</v>
      </c>
      <c r="Q162" s="5">
        <v>2.82996387420879</v>
      </c>
      <c r="R162" s="5">
        <v>0.87733056906376705</v>
      </c>
    </row>
    <row r="163" spans="1:18" x14ac:dyDescent="0.4">
      <c r="A163" s="7">
        <v>50603</v>
      </c>
      <c r="B163" s="7">
        <v>219</v>
      </c>
      <c r="C163" s="7">
        <v>5</v>
      </c>
      <c r="D163" s="7">
        <v>173.5</v>
      </c>
      <c r="E163" s="7">
        <v>4.8600000000000003</v>
      </c>
      <c r="F163" s="7" t="s">
        <v>22</v>
      </c>
      <c r="G163" s="7" t="s">
        <v>23</v>
      </c>
      <c r="H163" s="7">
        <v>40</v>
      </c>
      <c r="I163" s="7">
        <v>13</v>
      </c>
      <c r="J163" s="7">
        <v>6</v>
      </c>
      <c r="K163" s="7">
        <v>0</v>
      </c>
      <c r="L163" s="7">
        <v>8.3000000000000007</v>
      </c>
      <c r="M163" s="7">
        <v>75</v>
      </c>
      <c r="N163" s="2">
        <f t="shared" si="2"/>
        <v>42470</v>
      </c>
      <c r="O163" s="6">
        <v>5.3394239600000004</v>
      </c>
      <c r="P163" s="5">
        <v>10.999123979284899</v>
      </c>
      <c r="Q163" s="5">
        <v>2.3114727170914202</v>
      </c>
      <c r="R163" s="5">
        <v>2.0147141740933998</v>
      </c>
    </row>
    <row r="164" spans="1:18" x14ac:dyDescent="0.4">
      <c r="A164" s="7">
        <v>50604</v>
      </c>
      <c r="B164" s="7">
        <v>219</v>
      </c>
      <c r="C164" s="7">
        <v>5</v>
      </c>
      <c r="D164" s="7">
        <v>174.5</v>
      </c>
      <c r="E164" s="7">
        <v>4.05</v>
      </c>
      <c r="F164" s="7" t="s">
        <v>22</v>
      </c>
      <c r="G164" s="7" t="s">
        <v>23</v>
      </c>
      <c r="H164" s="7">
        <v>40</v>
      </c>
      <c r="I164" s="7">
        <v>14</v>
      </c>
      <c r="J164" s="7">
        <v>13.1</v>
      </c>
      <c r="K164" s="7">
        <v>0</v>
      </c>
      <c r="L164" s="7">
        <v>12.9</v>
      </c>
      <c r="M164" s="7">
        <v>71</v>
      </c>
      <c r="N164" s="2">
        <f t="shared" si="2"/>
        <v>42471</v>
      </c>
      <c r="O164" s="6">
        <v>5.0121241599999999</v>
      </c>
      <c r="P164" s="5">
        <v>7.0203848648826499</v>
      </c>
      <c r="Q164" s="5">
        <v>2.0075893807679801</v>
      </c>
      <c r="R164" s="5">
        <v>0.76529114454882696</v>
      </c>
    </row>
    <row r="165" spans="1:18" x14ac:dyDescent="0.4">
      <c r="A165" s="7">
        <v>50605</v>
      </c>
      <c r="B165" s="7">
        <v>219</v>
      </c>
      <c r="C165" s="7">
        <v>5</v>
      </c>
      <c r="D165" s="7">
        <v>175.5</v>
      </c>
      <c r="E165" s="7">
        <v>6.52</v>
      </c>
      <c r="F165" s="7" t="s">
        <v>22</v>
      </c>
      <c r="G165" s="7" t="s">
        <v>23</v>
      </c>
      <c r="H165" s="7">
        <v>40</v>
      </c>
      <c r="I165" s="7">
        <v>15</v>
      </c>
      <c r="J165" s="7">
        <v>10.5</v>
      </c>
      <c r="K165" s="7">
        <v>0</v>
      </c>
      <c r="L165" s="7">
        <v>11.7</v>
      </c>
      <c r="M165" s="7">
        <v>69</v>
      </c>
      <c r="N165" s="2">
        <f t="shared" si="2"/>
        <v>42472</v>
      </c>
      <c r="O165" s="6">
        <v>4.4621181999999999</v>
      </c>
      <c r="P165" s="5">
        <v>8.1615279571875803</v>
      </c>
      <c r="Q165" s="5">
        <v>1.5168575557999799</v>
      </c>
      <c r="R165" s="5">
        <v>0.21711346816930799</v>
      </c>
    </row>
    <row r="166" spans="1:18" x14ac:dyDescent="0.4">
      <c r="A166" s="7">
        <v>50606</v>
      </c>
      <c r="B166" s="7">
        <v>219</v>
      </c>
      <c r="C166" s="7">
        <v>5</v>
      </c>
      <c r="D166" s="7">
        <v>176.5</v>
      </c>
      <c r="E166" s="7">
        <v>4.72</v>
      </c>
      <c r="F166" s="7" t="s">
        <v>22</v>
      </c>
      <c r="G166" s="7" t="s">
        <v>23</v>
      </c>
      <c r="H166" s="7">
        <v>40</v>
      </c>
      <c r="I166" s="7">
        <v>16</v>
      </c>
      <c r="J166" s="7">
        <v>10.9</v>
      </c>
      <c r="K166" s="7">
        <v>0.8</v>
      </c>
      <c r="L166" s="7">
        <v>13</v>
      </c>
      <c r="M166" s="7">
        <v>69</v>
      </c>
      <c r="N166" s="2">
        <f t="shared" si="2"/>
        <v>42473</v>
      </c>
      <c r="O166" s="6">
        <v>4.0255104800000003</v>
      </c>
      <c r="P166" s="5">
        <v>8.0120351307309203</v>
      </c>
      <c r="Q166" s="5">
        <v>1.16686262331404</v>
      </c>
      <c r="R166" s="5">
        <v>1.1663029532809399</v>
      </c>
    </row>
    <row r="167" spans="1:18" x14ac:dyDescent="0.4">
      <c r="A167" s="7">
        <v>50607</v>
      </c>
      <c r="B167" s="7">
        <v>219</v>
      </c>
      <c r="C167" s="7">
        <v>5</v>
      </c>
      <c r="D167" s="7">
        <v>177.5</v>
      </c>
      <c r="E167" s="7">
        <v>6.44</v>
      </c>
      <c r="F167" s="7" t="s">
        <v>22</v>
      </c>
      <c r="G167" s="7" t="s">
        <v>23</v>
      </c>
      <c r="H167" s="7">
        <v>40</v>
      </c>
      <c r="I167" s="7">
        <v>17</v>
      </c>
      <c r="J167" s="7">
        <v>8.1</v>
      </c>
      <c r="K167" s="7">
        <v>0</v>
      </c>
      <c r="L167" s="7">
        <v>10.3</v>
      </c>
      <c r="M167" s="7">
        <v>69</v>
      </c>
      <c r="N167" s="2">
        <f t="shared" si="2"/>
        <v>42474</v>
      </c>
      <c r="O167" s="6">
        <v>3.6126405199999998</v>
      </c>
      <c r="P167" s="5">
        <v>8.2208042672013697</v>
      </c>
      <c r="Q167" s="5">
        <v>0.79448205935763405</v>
      </c>
      <c r="R167" s="5">
        <v>0.337312604274839</v>
      </c>
    </row>
    <row r="168" spans="1:18" x14ac:dyDescent="0.4">
      <c r="A168" s="7">
        <v>50608</v>
      </c>
      <c r="B168" s="7">
        <v>219</v>
      </c>
      <c r="C168" s="7">
        <v>5</v>
      </c>
      <c r="D168" s="7">
        <v>178.5</v>
      </c>
      <c r="E168" s="7">
        <v>5.7</v>
      </c>
      <c r="F168" s="7" t="s">
        <v>22</v>
      </c>
      <c r="G168" s="7" t="s">
        <v>23</v>
      </c>
      <c r="H168" s="7">
        <v>40</v>
      </c>
      <c r="I168" s="7">
        <v>18</v>
      </c>
      <c r="J168" s="7">
        <v>13.4</v>
      </c>
      <c r="K168" s="7">
        <v>0</v>
      </c>
      <c r="L168" s="7">
        <v>14.4</v>
      </c>
      <c r="M168" s="7">
        <v>65</v>
      </c>
      <c r="N168" s="2">
        <f t="shared" si="2"/>
        <v>42475</v>
      </c>
      <c r="O168" s="6">
        <v>3.4308890399999998</v>
      </c>
      <c r="P168" s="5">
        <v>4.65869347720961</v>
      </c>
      <c r="Q168" s="5">
        <v>0.534413413647293</v>
      </c>
      <c r="R168" s="5">
        <v>1.45019463614527</v>
      </c>
    </row>
    <row r="169" spans="1:18" x14ac:dyDescent="0.4">
      <c r="A169" s="7">
        <v>50609</v>
      </c>
      <c r="B169" s="7">
        <v>219</v>
      </c>
      <c r="C169" s="7">
        <v>5</v>
      </c>
      <c r="D169" s="7">
        <v>179.5</v>
      </c>
      <c r="E169" s="7">
        <v>2.8</v>
      </c>
      <c r="F169" s="7" t="s">
        <v>22</v>
      </c>
      <c r="G169" s="7" t="s">
        <v>23</v>
      </c>
      <c r="H169" s="7">
        <v>40</v>
      </c>
      <c r="I169" s="7">
        <v>19</v>
      </c>
      <c r="J169" s="7">
        <v>13.5</v>
      </c>
      <c r="K169" s="7">
        <v>13</v>
      </c>
      <c r="L169" s="7">
        <v>15.2</v>
      </c>
      <c r="M169" s="7">
        <v>63</v>
      </c>
      <c r="N169" s="2">
        <f t="shared" si="2"/>
        <v>42476</v>
      </c>
      <c r="O169" s="6">
        <v>3.4191282200000002</v>
      </c>
      <c r="P169" s="5">
        <v>5.5897461156105503</v>
      </c>
      <c r="Q169" s="5">
        <v>0.239004794344919</v>
      </c>
      <c r="R169" s="5">
        <v>1.56662307237704</v>
      </c>
    </row>
    <row r="170" spans="1:18" x14ac:dyDescent="0.4">
      <c r="A170" s="7">
        <v>50610</v>
      </c>
      <c r="B170" s="7">
        <v>219</v>
      </c>
      <c r="C170" s="7">
        <v>5</v>
      </c>
      <c r="D170" s="7">
        <v>180.5</v>
      </c>
      <c r="E170" s="7">
        <v>3.15</v>
      </c>
      <c r="F170" s="7" t="s">
        <v>22</v>
      </c>
      <c r="G170" s="7" t="s">
        <v>23</v>
      </c>
      <c r="H170" s="7">
        <v>40</v>
      </c>
      <c r="I170" s="7">
        <v>20</v>
      </c>
      <c r="J170" s="7">
        <v>13.3</v>
      </c>
      <c r="K170" s="7">
        <v>0</v>
      </c>
      <c r="L170" s="7">
        <v>15.4</v>
      </c>
      <c r="M170" s="7">
        <v>63</v>
      </c>
      <c r="N170" s="2">
        <f t="shared" si="2"/>
        <v>42477</v>
      </c>
      <c r="O170" s="6">
        <v>3.8119488399999999</v>
      </c>
      <c r="P170" s="5">
        <v>3.5585911127568299</v>
      </c>
      <c r="Q170" s="5">
        <v>0.27761332562215602</v>
      </c>
      <c r="R170" s="5">
        <v>1.8014649880365801</v>
      </c>
    </row>
    <row r="171" spans="1:18" x14ac:dyDescent="0.4">
      <c r="A171" s="7">
        <v>50611</v>
      </c>
      <c r="B171" s="7">
        <v>219</v>
      </c>
      <c r="C171" s="7">
        <v>5</v>
      </c>
      <c r="D171" s="7">
        <v>181.5</v>
      </c>
      <c r="E171" s="7">
        <v>6.1</v>
      </c>
      <c r="F171" s="7" t="s">
        <v>22</v>
      </c>
      <c r="G171" s="7" t="s">
        <v>23</v>
      </c>
      <c r="H171" s="7">
        <v>40</v>
      </c>
      <c r="I171" s="7">
        <v>21</v>
      </c>
      <c r="J171" s="7">
        <v>10.5</v>
      </c>
      <c r="K171" s="7">
        <v>0</v>
      </c>
      <c r="L171" s="7">
        <v>12.4</v>
      </c>
      <c r="M171" s="7">
        <v>69</v>
      </c>
      <c r="N171" s="2">
        <f t="shared" si="2"/>
        <v>42478</v>
      </c>
      <c r="O171" s="6">
        <v>3.3453522200000001</v>
      </c>
      <c r="P171" s="5">
        <v>8.2053310917354203</v>
      </c>
      <c r="Q171" s="5">
        <v>0.31150398445848498</v>
      </c>
      <c r="R171" s="5">
        <v>0.49160253725866698</v>
      </c>
    </row>
    <row r="172" spans="1:18" x14ac:dyDescent="0.4">
      <c r="A172" s="7">
        <v>50612</v>
      </c>
      <c r="B172" s="7">
        <v>219</v>
      </c>
      <c r="C172" s="7">
        <v>5</v>
      </c>
      <c r="D172" s="7">
        <v>182.5</v>
      </c>
      <c r="E172" s="7">
        <v>2.27</v>
      </c>
      <c r="F172" s="7" t="s">
        <v>22</v>
      </c>
      <c r="G172" s="7" t="s">
        <v>23</v>
      </c>
      <c r="H172" s="7">
        <v>40</v>
      </c>
      <c r="I172" s="7">
        <v>22</v>
      </c>
      <c r="J172" s="7">
        <v>6.1</v>
      </c>
      <c r="K172" s="7">
        <v>0</v>
      </c>
      <c r="L172" s="7">
        <v>8.6999999999999993</v>
      </c>
      <c r="M172" s="7">
        <v>65</v>
      </c>
      <c r="N172" s="2">
        <f t="shared" si="2"/>
        <v>42479</v>
      </c>
      <c r="O172" s="6">
        <v>2.5942212599999999</v>
      </c>
      <c r="P172" s="5">
        <v>5.6621933568370899</v>
      </c>
      <c r="Q172" s="5">
        <v>0.368995455374931</v>
      </c>
      <c r="R172" s="5">
        <v>1.3529734407504499</v>
      </c>
    </row>
    <row r="173" spans="1:18" x14ac:dyDescent="0.4">
      <c r="A173" s="7">
        <v>50613</v>
      </c>
      <c r="B173" s="7">
        <v>219</v>
      </c>
      <c r="C173" s="7">
        <v>5</v>
      </c>
      <c r="D173" s="7">
        <v>183.5</v>
      </c>
      <c r="E173" s="7">
        <v>1.93</v>
      </c>
      <c r="F173" s="7" t="s">
        <v>22</v>
      </c>
      <c r="G173" s="7" t="s">
        <v>23</v>
      </c>
      <c r="H173" s="7">
        <v>40</v>
      </c>
      <c r="I173" s="7">
        <v>23</v>
      </c>
      <c r="J173" s="7">
        <v>13.4</v>
      </c>
      <c r="K173" s="7">
        <v>0</v>
      </c>
      <c r="L173" s="7">
        <v>13.8</v>
      </c>
      <c r="M173" s="7">
        <v>43</v>
      </c>
      <c r="N173" s="2">
        <f t="shared" si="2"/>
        <v>42480</v>
      </c>
      <c r="O173" s="6">
        <v>2.18796926</v>
      </c>
      <c r="P173" s="5">
        <v>3.7083985992602</v>
      </c>
      <c r="Q173" s="5">
        <v>0.35741142022800998</v>
      </c>
      <c r="R173" s="5">
        <v>1.72555796285636</v>
      </c>
    </row>
    <row r="174" spans="1:18" x14ac:dyDescent="0.4">
      <c r="A174" s="7">
        <v>50614</v>
      </c>
      <c r="B174" s="7">
        <v>219</v>
      </c>
      <c r="C174" s="7">
        <v>5</v>
      </c>
      <c r="D174" s="7">
        <v>184.5</v>
      </c>
      <c r="E174" s="7">
        <v>1.47</v>
      </c>
      <c r="F174" s="7" t="s">
        <v>22</v>
      </c>
      <c r="G174" s="7" t="s">
        <v>23</v>
      </c>
      <c r="H174" s="7">
        <v>40</v>
      </c>
      <c r="I174" s="7">
        <v>24</v>
      </c>
      <c r="J174" s="7">
        <v>13.5</v>
      </c>
      <c r="K174" s="7">
        <v>0</v>
      </c>
      <c r="L174" s="7">
        <v>14.4</v>
      </c>
      <c r="M174" s="7">
        <v>57</v>
      </c>
      <c r="N174" s="2">
        <f t="shared" si="2"/>
        <v>42481</v>
      </c>
      <c r="O174" s="6">
        <v>2.1081644599999998</v>
      </c>
      <c r="P174" s="5">
        <v>3.6320627928632399</v>
      </c>
      <c r="Q174" s="5">
        <v>0.34731505775300497</v>
      </c>
      <c r="R174" s="5">
        <v>1.70685280763637</v>
      </c>
    </row>
    <row r="175" spans="1:18" x14ac:dyDescent="0.4">
      <c r="A175" s="7">
        <v>50615</v>
      </c>
      <c r="B175" s="7">
        <v>219</v>
      </c>
      <c r="C175" s="7">
        <v>5</v>
      </c>
      <c r="D175" s="7">
        <v>185.5</v>
      </c>
      <c r="E175" s="7">
        <v>1.98</v>
      </c>
      <c r="F175" s="7" t="s">
        <v>22</v>
      </c>
      <c r="G175" s="7" t="s">
        <v>23</v>
      </c>
      <c r="H175" s="7">
        <v>40</v>
      </c>
      <c r="I175" s="7">
        <v>25</v>
      </c>
      <c r="J175" s="7">
        <v>10.7</v>
      </c>
      <c r="K175" s="7">
        <v>12</v>
      </c>
      <c r="L175" s="7">
        <v>11.7</v>
      </c>
      <c r="M175" s="7">
        <v>74</v>
      </c>
      <c r="N175" s="2">
        <f t="shared" si="2"/>
        <v>42482</v>
      </c>
      <c r="O175" s="6">
        <v>2.3918156399999999</v>
      </c>
      <c r="P175" s="5">
        <v>9.6008081890476404</v>
      </c>
      <c r="Q175" s="5">
        <v>0.454862015006543</v>
      </c>
      <c r="R175" s="5">
        <v>0.96078095641507399</v>
      </c>
    </row>
    <row r="176" spans="1:18" x14ac:dyDescent="0.4">
      <c r="A176" s="7">
        <v>50616</v>
      </c>
      <c r="B176" s="7">
        <v>219</v>
      </c>
      <c r="C176" s="7">
        <v>5</v>
      </c>
      <c r="D176" s="7">
        <v>186.5</v>
      </c>
      <c r="E176" s="7">
        <v>2.0099999999999998</v>
      </c>
      <c r="F176" s="7" t="s">
        <v>22</v>
      </c>
      <c r="G176" s="7" t="s">
        <v>23</v>
      </c>
      <c r="H176" s="7">
        <v>40</v>
      </c>
      <c r="I176" s="7">
        <v>26</v>
      </c>
      <c r="J176" s="7">
        <v>12.8</v>
      </c>
      <c r="K176" s="7">
        <v>0</v>
      </c>
      <c r="L176" s="7">
        <v>13.6</v>
      </c>
      <c r="M176" s="7">
        <v>69</v>
      </c>
      <c r="N176" s="2">
        <f t="shared" si="2"/>
        <v>42483</v>
      </c>
      <c r="O176" s="6">
        <v>2.6224177800000001</v>
      </c>
      <c r="P176" s="5">
        <v>6.1027021336173997</v>
      </c>
      <c r="Q176" s="5">
        <v>0.51165986393164298</v>
      </c>
      <c r="R176" s="5">
        <v>0.76021070511454403</v>
      </c>
    </row>
    <row r="177" spans="1:18" x14ac:dyDescent="0.4">
      <c r="A177" s="7">
        <v>50617</v>
      </c>
      <c r="B177" s="7">
        <v>219</v>
      </c>
      <c r="C177" s="7">
        <v>5</v>
      </c>
      <c r="D177" s="7">
        <v>187.5</v>
      </c>
      <c r="E177" s="7">
        <v>1.29</v>
      </c>
      <c r="F177" s="7" t="s">
        <v>22</v>
      </c>
      <c r="G177" s="7" t="s">
        <v>23</v>
      </c>
      <c r="H177" s="7">
        <v>40</v>
      </c>
      <c r="I177" s="7">
        <v>27</v>
      </c>
      <c r="J177" s="7">
        <v>10.4</v>
      </c>
      <c r="K177" s="7">
        <v>1.1000000000000001</v>
      </c>
      <c r="L177" s="7">
        <v>12.9</v>
      </c>
      <c r="M177" s="7">
        <v>42</v>
      </c>
      <c r="N177" s="2">
        <f t="shared" si="2"/>
        <v>42484</v>
      </c>
      <c r="O177" s="6">
        <v>2.1373313999999999</v>
      </c>
      <c r="P177" s="5">
        <v>5.3862851293517098</v>
      </c>
      <c r="Q177" s="5">
        <v>0.62159520885906505</v>
      </c>
      <c r="R177" s="5">
        <v>2.2422148688742798</v>
      </c>
    </row>
    <row r="178" spans="1:18" x14ac:dyDescent="0.4">
      <c r="A178" s="7">
        <v>50618</v>
      </c>
      <c r="B178" s="7">
        <v>219</v>
      </c>
      <c r="C178" s="7">
        <v>5</v>
      </c>
      <c r="D178" s="7">
        <v>188.5</v>
      </c>
      <c r="E178" s="7">
        <v>0.95</v>
      </c>
      <c r="F178" s="7" t="s">
        <v>22</v>
      </c>
      <c r="G178" s="7" t="s">
        <v>23</v>
      </c>
      <c r="H178" s="7">
        <v>40</v>
      </c>
      <c r="I178" s="7">
        <v>28</v>
      </c>
      <c r="J178" s="7">
        <v>8.1999999999999993</v>
      </c>
      <c r="K178" s="7">
        <v>0</v>
      </c>
      <c r="L178" s="7">
        <v>10.1</v>
      </c>
      <c r="M178" s="7">
        <v>73</v>
      </c>
      <c r="N178" s="2">
        <f t="shared" si="2"/>
        <v>42485</v>
      </c>
      <c r="O178" s="6">
        <v>1.8846604</v>
      </c>
      <c r="P178" s="5">
        <v>10.195253201195699</v>
      </c>
      <c r="Q178" s="5">
        <v>0.62345288495308904</v>
      </c>
      <c r="R178" s="5">
        <v>0.59244513584010605</v>
      </c>
    </row>
    <row r="179" spans="1:18" x14ac:dyDescent="0.4">
      <c r="A179" s="7">
        <v>50619</v>
      </c>
      <c r="B179" s="7">
        <v>219</v>
      </c>
      <c r="C179" s="7">
        <v>5</v>
      </c>
      <c r="D179" s="7">
        <v>189.5</v>
      </c>
      <c r="E179" s="7">
        <v>0.86</v>
      </c>
      <c r="F179" s="7" t="s">
        <v>22</v>
      </c>
      <c r="G179" s="7" t="s">
        <v>23</v>
      </c>
      <c r="H179" s="7">
        <v>40</v>
      </c>
      <c r="I179" s="7">
        <v>29</v>
      </c>
      <c r="J179" s="7">
        <v>9.5</v>
      </c>
      <c r="K179" s="7">
        <v>0</v>
      </c>
      <c r="L179" s="7">
        <v>11.2</v>
      </c>
      <c r="M179" s="7">
        <v>69</v>
      </c>
      <c r="N179" s="2">
        <f t="shared" si="2"/>
        <v>42486</v>
      </c>
      <c r="O179" s="6">
        <v>1.77465228</v>
      </c>
      <c r="P179" s="5">
        <v>7.9673843503764497</v>
      </c>
      <c r="Q179" s="5">
        <v>0.59560085610218605</v>
      </c>
      <c r="R179" s="5">
        <v>0.61592660099821495</v>
      </c>
    </row>
    <row r="180" spans="1:18" x14ac:dyDescent="0.4">
      <c r="A180" s="7">
        <v>50620</v>
      </c>
      <c r="B180" s="7">
        <v>219</v>
      </c>
      <c r="C180" s="7">
        <v>5</v>
      </c>
      <c r="D180" s="7">
        <v>190.5</v>
      </c>
      <c r="E180" s="7">
        <v>0.94</v>
      </c>
      <c r="F180" s="7" t="s">
        <v>22</v>
      </c>
      <c r="G180" s="7" t="s">
        <v>23</v>
      </c>
      <c r="H180" s="7">
        <v>40</v>
      </c>
      <c r="I180" s="7">
        <v>30</v>
      </c>
      <c r="J180" s="7">
        <v>10.3</v>
      </c>
      <c r="K180" s="7">
        <v>0</v>
      </c>
      <c r="L180" s="7">
        <v>11.9</v>
      </c>
      <c r="M180" s="7">
        <v>42</v>
      </c>
      <c r="N180" s="2">
        <f t="shared" si="2"/>
        <v>42487</v>
      </c>
      <c r="O180" s="6">
        <v>1.60951932</v>
      </c>
      <c r="P180" s="5">
        <v>4.89486560084171</v>
      </c>
      <c r="Q180" s="5">
        <v>0.49714695722727398</v>
      </c>
      <c r="R180" s="5">
        <v>2.5611792395221</v>
      </c>
    </row>
    <row r="181" spans="1:18" x14ac:dyDescent="0.4">
      <c r="A181" s="7">
        <v>50621</v>
      </c>
      <c r="B181" s="7">
        <v>219</v>
      </c>
      <c r="C181" s="7">
        <v>5</v>
      </c>
      <c r="D181" s="7">
        <v>191.5</v>
      </c>
      <c r="E181" s="7">
        <v>0.86</v>
      </c>
      <c r="F181" s="7" t="s">
        <v>22</v>
      </c>
      <c r="G181" s="7" t="s">
        <v>23</v>
      </c>
      <c r="H181" s="7">
        <v>40</v>
      </c>
      <c r="I181" s="7">
        <v>31</v>
      </c>
      <c r="J181" s="7">
        <v>9.1999999999999993</v>
      </c>
      <c r="K181" s="7">
        <v>0.8</v>
      </c>
      <c r="L181" s="7">
        <v>10.6</v>
      </c>
      <c r="M181" s="7">
        <v>64</v>
      </c>
      <c r="N181" s="2">
        <f t="shared" si="2"/>
        <v>42488</v>
      </c>
      <c r="O181" s="6">
        <v>1.61305688</v>
      </c>
      <c r="P181" s="5">
        <v>5.6698255806180597</v>
      </c>
      <c r="Q181" s="5">
        <v>0.41487429526013903</v>
      </c>
      <c r="R181" s="5">
        <v>2.0523138216772101</v>
      </c>
    </row>
    <row r="182" spans="1:18" x14ac:dyDescent="0.4">
      <c r="A182" s="7">
        <v>50622</v>
      </c>
      <c r="B182" s="7">
        <v>219</v>
      </c>
      <c r="C182" s="7">
        <v>5</v>
      </c>
      <c r="D182" s="7">
        <v>192.5</v>
      </c>
      <c r="E182" s="7">
        <v>3.39</v>
      </c>
      <c r="F182" s="7" t="s">
        <v>22</v>
      </c>
      <c r="G182" s="7" t="s">
        <v>23</v>
      </c>
      <c r="H182" s="7">
        <v>40</v>
      </c>
      <c r="I182" s="7">
        <v>32</v>
      </c>
      <c r="J182" s="7">
        <v>7.6</v>
      </c>
      <c r="K182" s="7">
        <v>0</v>
      </c>
      <c r="L182" s="7">
        <v>9.6</v>
      </c>
      <c r="M182" s="7">
        <v>41</v>
      </c>
      <c r="N182" s="2">
        <f t="shared" si="2"/>
        <v>42489</v>
      </c>
      <c r="O182" s="6">
        <v>1.51605816</v>
      </c>
      <c r="P182" s="5">
        <v>5.1124461767487803</v>
      </c>
      <c r="Q182" s="5">
        <v>0.34237299789978798</v>
      </c>
      <c r="R182" s="5">
        <v>1.8108926207591101</v>
      </c>
    </row>
    <row r="183" spans="1:18" x14ac:dyDescent="0.4">
      <c r="A183" s="7">
        <v>50623</v>
      </c>
      <c r="B183" s="7">
        <v>219</v>
      </c>
      <c r="C183" s="7">
        <v>5</v>
      </c>
      <c r="D183" s="7">
        <v>193.5</v>
      </c>
      <c r="E183" s="7">
        <v>0.86</v>
      </c>
      <c r="F183" s="7" t="s">
        <v>22</v>
      </c>
      <c r="G183" s="7" t="s">
        <v>23</v>
      </c>
      <c r="H183" s="7">
        <v>40</v>
      </c>
      <c r="I183" s="7">
        <v>33</v>
      </c>
      <c r="J183" s="7">
        <v>8.4</v>
      </c>
      <c r="K183" s="7">
        <v>0</v>
      </c>
      <c r="L183" s="7">
        <v>10</v>
      </c>
      <c r="M183" s="7">
        <v>60</v>
      </c>
      <c r="N183" s="2">
        <f t="shared" si="2"/>
        <v>42490</v>
      </c>
      <c r="O183" s="6">
        <v>1.52582336</v>
      </c>
      <c r="P183" s="5">
        <v>4.8403703652358203</v>
      </c>
      <c r="Q183" s="5">
        <v>0.29766952946734898</v>
      </c>
      <c r="R183" s="5">
        <v>1.7554979046844199</v>
      </c>
    </row>
    <row r="184" spans="1:18" x14ac:dyDescent="0.4">
      <c r="A184" s="7">
        <v>50624</v>
      </c>
      <c r="B184" s="7">
        <v>219</v>
      </c>
      <c r="C184" s="7">
        <v>5</v>
      </c>
      <c r="D184" s="7">
        <v>194.5</v>
      </c>
      <c r="E184" s="7">
        <v>0.97</v>
      </c>
      <c r="F184" s="7" t="s">
        <v>22</v>
      </c>
      <c r="G184" s="7" t="s">
        <v>23</v>
      </c>
      <c r="H184" s="7">
        <v>40</v>
      </c>
      <c r="I184" s="7">
        <v>34</v>
      </c>
      <c r="J184" s="7">
        <v>6.9</v>
      </c>
      <c r="K184" s="7">
        <v>4.4000000000000004</v>
      </c>
      <c r="L184" s="7">
        <v>9</v>
      </c>
      <c r="M184" s="7">
        <v>68</v>
      </c>
      <c r="N184" s="2">
        <f t="shared" si="2"/>
        <v>42491</v>
      </c>
      <c r="O184" s="6">
        <v>1.75876984</v>
      </c>
      <c r="P184" s="5">
        <v>7.3635763913361103</v>
      </c>
      <c r="Q184" s="5">
        <v>0.36085462834676701</v>
      </c>
      <c r="R184" s="5">
        <v>0.88316556087750198</v>
      </c>
    </row>
    <row r="185" spans="1:18" x14ac:dyDescent="0.4">
      <c r="A185" s="7">
        <v>50625</v>
      </c>
      <c r="B185" s="7">
        <v>219</v>
      </c>
      <c r="C185" s="7">
        <v>5</v>
      </c>
      <c r="D185" s="7">
        <v>195.5</v>
      </c>
      <c r="E185" s="7">
        <v>1.35</v>
      </c>
      <c r="F185" s="7" t="s">
        <v>22</v>
      </c>
      <c r="G185" s="7" t="s">
        <v>23</v>
      </c>
      <c r="H185" s="7">
        <v>40</v>
      </c>
      <c r="I185" s="7">
        <v>1</v>
      </c>
      <c r="J185" s="7">
        <v>7.7</v>
      </c>
      <c r="K185" s="7">
        <v>0</v>
      </c>
      <c r="L185" s="7">
        <v>9.3000000000000007</v>
      </c>
      <c r="M185" s="7">
        <v>40</v>
      </c>
      <c r="N185" s="2">
        <f t="shared" si="2"/>
        <v>42492</v>
      </c>
      <c r="O185" s="6">
        <v>2.0208026600000002</v>
      </c>
      <c r="P185" s="5">
        <v>5.2085420713833104</v>
      </c>
      <c r="Q185" s="5">
        <v>0.575190608544631</v>
      </c>
      <c r="R185" s="5">
        <v>1.6814964165114199</v>
      </c>
    </row>
    <row r="186" spans="1:18" x14ac:dyDescent="0.4">
      <c r="A186" s="7">
        <v>50626</v>
      </c>
      <c r="B186" s="7">
        <v>219</v>
      </c>
      <c r="C186" s="7">
        <v>5</v>
      </c>
      <c r="D186" s="7">
        <v>196.5</v>
      </c>
      <c r="E186" s="7">
        <v>3.87</v>
      </c>
      <c r="F186" s="7" t="s">
        <v>22</v>
      </c>
      <c r="G186" s="7" t="s">
        <v>23</v>
      </c>
      <c r="H186" s="7">
        <v>40</v>
      </c>
      <c r="I186" s="7">
        <v>2</v>
      </c>
      <c r="J186" s="7">
        <v>9.3000000000000007</v>
      </c>
      <c r="K186" s="7">
        <v>0</v>
      </c>
      <c r="L186" s="7">
        <v>10.6</v>
      </c>
      <c r="M186" s="7">
        <v>59</v>
      </c>
      <c r="N186" s="2">
        <f t="shared" si="2"/>
        <v>42493</v>
      </c>
      <c r="O186" s="6">
        <v>2.5388449199999998</v>
      </c>
      <c r="P186" s="5">
        <v>5.2980585499578696</v>
      </c>
      <c r="Q186" s="5">
        <v>1.01986243365157</v>
      </c>
      <c r="R186" s="5">
        <v>1.94868415673627</v>
      </c>
    </row>
    <row r="187" spans="1:18" x14ac:dyDescent="0.4">
      <c r="A187" s="7">
        <v>50627</v>
      </c>
      <c r="B187" s="7">
        <v>219</v>
      </c>
      <c r="C187" s="7">
        <v>5</v>
      </c>
      <c r="D187" s="7">
        <v>197.5</v>
      </c>
      <c r="E187" s="7">
        <v>1.43</v>
      </c>
      <c r="F187" s="7" t="s">
        <v>22</v>
      </c>
      <c r="G187" s="7" t="s">
        <v>23</v>
      </c>
      <c r="H187" s="7">
        <v>40</v>
      </c>
      <c r="I187" s="7">
        <v>3</v>
      </c>
      <c r="J187" s="7">
        <v>9.4</v>
      </c>
      <c r="K187" s="7">
        <v>0</v>
      </c>
      <c r="L187" s="7">
        <v>10</v>
      </c>
      <c r="M187" s="7">
        <v>57</v>
      </c>
      <c r="N187" s="2">
        <f t="shared" si="2"/>
        <v>42494</v>
      </c>
      <c r="O187" s="6">
        <v>2.9990446999999998</v>
      </c>
      <c r="P187" s="5">
        <v>5.0542419684806701</v>
      </c>
      <c r="Q187" s="5">
        <v>1.4868470305532999</v>
      </c>
      <c r="R187" s="5">
        <v>2.0203925808271799</v>
      </c>
    </row>
    <row r="188" spans="1:18" x14ac:dyDescent="0.4">
      <c r="A188" s="7">
        <v>50628</v>
      </c>
      <c r="B188" s="7">
        <v>219</v>
      </c>
      <c r="C188" s="7">
        <v>5</v>
      </c>
      <c r="D188" s="7">
        <v>198.5</v>
      </c>
      <c r="E188" s="7">
        <v>2.16</v>
      </c>
      <c r="F188" s="7" t="s">
        <v>22</v>
      </c>
      <c r="G188" s="7" t="s">
        <v>23</v>
      </c>
      <c r="H188" s="7">
        <v>40</v>
      </c>
      <c r="I188" s="7">
        <v>4</v>
      </c>
      <c r="J188" s="7">
        <v>11.3</v>
      </c>
      <c r="K188" s="7">
        <v>0</v>
      </c>
      <c r="L188" s="7">
        <v>11.1</v>
      </c>
      <c r="M188" s="7">
        <v>39</v>
      </c>
      <c r="N188" s="2">
        <f t="shared" si="2"/>
        <v>42495</v>
      </c>
      <c r="O188" s="6">
        <v>2.86287928</v>
      </c>
      <c r="P188" s="5">
        <v>5.0099404622569104</v>
      </c>
      <c r="Q188" s="5">
        <v>1.3621612615171499</v>
      </c>
      <c r="R188" s="5">
        <v>2.3022993559871598</v>
      </c>
    </row>
    <row r="189" spans="1:18" x14ac:dyDescent="0.4">
      <c r="A189" s="7">
        <v>50629</v>
      </c>
      <c r="B189" s="7">
        <v>219</v>
      </c>
      <c r="C189" s="7">
        <v>5</v>
      </c>
      <c r="D189" s="7">
        <v>199.5</v>
      </c>
      <c r="E189" s="7">
        <v>0.71</v>
      </c>
      <c r="F189" s="7" t="s">
        <v>22</v>
      </c>
      <c r="G189" s="7" t="s">
        <v>23</v>
      </c>
      <c r="H189" s="7">
        <v>40</v>
      </c>
      <c r="I189" s="7">
        <v>5</v>
      </c>
      <c r="J189" s="7">
        <v>13.8</v>
      </c>
      <c r="K189" s="7">
        <v>0</v>
      </c>
      <c r="L189" s="7">
        <v>14.7</v>
      </c>
      <c r="M189" s="7">
        <v>50</v>
      </c>
      <c r="N189" s="2">
        <f t="shared" si="2"/>
        <v>42496</v>
      </c>
      <c r="O189" s="6">
        <v>3.0200443799999999</v>
      </c>
      <c r="P189" s="5">
        <v>2.84581114725141</v>
      </c>
      <c r="Q189" s="5">
        <v>1.59913202167278</v>
      </c>
      <c r="R189" s="5">
        <v>1.7046101820213799</v>
      </c>
    </row>
    <row r="190" spans="1:18" x14ac:dyDescent="0.4">
      <c r="A190" s="7">
        <v>50630</v>
      </c>
      <c r="B190" s="7">
        <v>219</v>
      </c>
      <c r="C190" s="7">
        <v>5</v>
      </c>
      <c r="D190" s="7">
        <v>202.5</v>
      </c>
      <c r="E190" s="7">
        <v>0.86</v>
      </c>
      <c r="F190" s="7" t="s">
        <v>22</v>
      </c>
      <c r="G190" s="7" t="s">
        <v>23</v>
      </c>
      <c r="H190" s="7">
        <v>40</v>
      </c>
      <c r="I190" s="7">
        <v>8</v>
      </c>
      <c r="J190" s="7">
        <v>16.100000000000001</v>
      </c>
      <c r="K190" s="7">
        <v>0</v>
      </c>
      <c r="L190" s="7">
        <v>16.600000000000001</v>
      </c>
      <c r="M190" s="7">
        <v>38</v>
      </c>
      <c r="N190" s="2">
        <f t="shared" si="2"/>
        <v>42499</v>
      </c>
      <c r="O190" s="6">
        <v>3.6742088399999999</v>
      </c>
      <c r="P190" s="5">
        <v>3.4570491240383698</v>
      </c>
      <c r="Q190" s="5">
        <v>1.85417284098005</v>
      </c>
      <c r="R190" s="5">
        <v>2.7368349130538601</v>
      </c>
    </row>
    <row r="191" spans="1:18" x14ac:dyDescent="0.4">
      <c r="A191" s="7">
        <v>50631</v>
      </c>
      <c r="B191" s="7">
        <v>219</v>
      </c>
      <c r="C191" s="7">
        <v>5</v>
      </c>
      <c r="D191" s="7">
        <v>203.5</v>
      </c>
      <c r="E191" s="7">
        <v>0.86</v>
      </c>
      <c r="F191" s="7" t="s">
        <v>22</v>
      </c>
      <c r="G191" s="7" t="s">
        <v>23</v>
      </c>
      <c r="H191" s="7">
        <v>40</v>
      </c>
      <c r="I191" s="7">
        <v>9</v>
      </c>
      <c r="J191" s="7">
        <v>14.3</v>
      </c>
      <c r="K191" s="7">
        <v>2.2999999999999998</v>
      </c>
      <c r="L191" s="7">
        <v>15.1</v>
      </c>
      <c r="M191" s="7">
        <v>58</v>
      </c>
      <c r="N191" s="2">
        <f t="shared" si="2"/>
        <v>42500</v>
      </c>
      <c r="O191" s="6">
        <v>3.87169578</v>
      </c>
      <c r="P191" s="5">
        <v>3.5870430208448698</v>
      </c>
      <c r="Q191" s="5">
        <v>1.61709579608287</v>
      </c>
      <c r="R191" s="5">
        <v>1.81774019360384</v>
      </c>
    </row>
    <row r="192" spans="1:18" x14ac:dyDescent="0.4">
      <c r="A192" s="7">
        <v>50632</v>
      </c>
      <c r="B192" s="7">
        <v>219</v>
      </c>
      <c r="C192" s="7">
        <v>5</v>
      </c>
      <c r="D192" s="7">
        <v>204.5</v>
      </c>
      <c r="E192" s="7">
        <v>3.81</v>
      </c>
      <c r="F192" s="7" t="s">
        <v>22</v>
      </c>
      <c r="G192" s="7" t="s">
        <v>23</v>
      </c>
      <c r="H192" s="7">
        <v>40</v>
      </c>
      <c r="I192" s="7">
        <v>10</v>
      </c>
      <c r="J192" s="7">
        <v>13.5</v>
      </c>
      <c r="K192" s="7">
        <v>0</v>
      </c>
      <c r="L192" s="7">
        <v>14.6</v>
      </c>
      <c r="M192" s="7">
        <v>56</v>
      </c>
      <c r="N192" s="2">
        <f t="shared" si="2"/>
        <v>42501</v>
      </c>
      <c r="O192" s="6">
        <v>3.9050872600000002</v>
      </c>
      <c r="P192" s="5">
        <v>3.6562283776965598</v>
      </c>
      <c r="Q192" s="5">
        <v>1.26117689770991</v>
      </c>
      <c r="R192" s="5">
        <v>1.9727068829990999</v>
      </c>
    </row>
    <row r="193" spans="1:18" x14ac:dyDescent="0.4">
      <c r="A193" s="7">
        <v>50633</v>
      </c>
      <c r="B193" s="7">
        <v>219</v>
      </c>
      <c r="C193" s="7">
        <v>5</v>
      </c>
      <c r="D193" s="7">
        <v>205.5</v>
      </c>
      <c r="E193" s="7">
        <v>9.64</v>
      </c>
      <c r="F193" s="7" t="s">
        <v>22</v>
      </c>
      <c r="G193" s="7" t="s">
        <v>23</v>
      </c>
      <c r="H193" s="7">
        <v>40</v>
      </c>
      <c r="I193" s="7">
        <v>11</v>
      </c>
      <c r="J193" s="7">
        <v>8.6999999999999993</v>
      </c>
      <c r="K193" s="7">
        <v>10</v>
      </c>
      <c r="L193" s="7">
        <v>11.9</v>
      </c>
      <c r="M193" s="7">
        <v>75</v>
      </c>
      <c r="N193" s="2">
        <f t="shared" si="2"/>
        <v>42502</v>
      </c>
      <c r="O193" s="6">
        <v>5.68737812</v>
      </c>
      <c r="P193" s="5">
        <v>9.3402698546773006</v>
      </c>
      <c r="Q193" s="5">
        <v>1.06377501866437</v>
      </c>
      <c r="R193" s="5">
        <v>0.92258818782573104</v>
      </c>
    </row>
    <row r="194" spans="1:18" x14ac:dyDescent="0.4">
      <c r="A194" s="7">
        <v>50634</v>
      </c>
      <c r="B194" s="7">
        <v>219</v>
      </c>
      <c r="C194" s="7">
        <v>5</v>
      </c>
      <c r="D194" s="7">
        <v>206.5</v>
      </c>
      <c r="E194" s="7">
        <v>3.1</v>
      </c>
      <c r="F194" s="7" t="s">
        <v>22</v>
      </c>
      <c r="G194" s="7" t="s">
        <v>23</v>
      </c>
      <c r="H194" s="7">
        <v>40</v>
      </c>
      <c r="I194" s="7">
        <v>12</v>
      </c>
      <c r="J194" s="7">
        <v>12.5</v>
      </c>
      <c r="K194" s="7">
        <v>7.7</v>
      </c>
      <c r="L194" s="7">
        <v>14.2</v>
      </c>
      <c r="M194" s="7">
        <v>39</v>
      </c>
      <c r="N194" s="2">
        <f t="shared" si="2"/>
        <v>42503</v>
      </c>
      <c r="O194" s="6">
        <v>5.7872292200000004</v>
      </c>
      <c r="P194" s="5">
        <v>5.6911994824916201</v>
      </c>
      <c r="Q194" s="5">
        <v>1.6632296596240199</v>
      </c>
      <c r="R194" s="5">
        <v>1.4494536212364999</v>
      </c>
    </row>
    <row r="195" spans="1:18" x14ac:dyDescent="0.4">
      <c r="A195" s="7">
        <v>50635</v>
      </c>
      <c r="B195" s="7">
        <v>219</v>
      </c>
      <c r="C195" s="7">
        <v>5</v>
      </c>
      <c r="D195" s="7">
        <v>207.5</v>
      </c>
      <c r="E195" s="7">
        <v>5.51</v>
      </c>
      <c r="F195" s="7" t="s">
        <v>22</v>
      </c>
      <c r="G195" s="7" t="s">
        <v>23</v>
      </c>
      <c r="H195" s="7">
        <v>40</v>
      </c>
      <c r="I195" s="7">
        <v>13</v>
      </c>
      <c r="J195" s="7">
        <v>13.1</v>
      </c>
      <c r="K195" s="7">
        <v>4.5999999999999996</v>
      </c>
      <c r="L195" s="7">
        <v>14.3</v>
      </c>
      <c r="M195" s="7">
        <v>40</v>
      </c>
      <c r="N195" s="2">
        <f t="shared" si="2"/>
        <v>42504</v>
      </c>
      <c r="O195" s="6">
        <v>6.7262960200000004</v>
      </c>
      <c r="P195" s="5">
        <v>4.9641787039643699</v>
      </c>
      <c r="Q195" s="5">
        <v>2.0751043258750301</v>
      </c>
      <c r="R195" s="5">
        <v>1.7663546285262699</v>
      </c>
    </row>
    <row r="196" spans="1:18" x14ac:dyDescent="0.4">
      <c r="A196" s="7">
        <v>50636</v>
      </c>
      <c r="B196" s="7">
        <v>219</v>
      </c>
      <c r="C196" s="7">
        <v>5</v>
      </c>
      <c r="D196" s="7">
        <v>208.5</v>
      </c>
      <c r="E196" s="7">
        <v>15.77</v>
      </c>
      <c r="F196" s="7" t="s">
        <v>22</v>
      </c>
      <c r="G196" s="7" t="s">
        <v>23</v>
      </c>
      <c r="H196" s="7">
        <v>40</v>
      </c>
      <c r="I196" s="7">
        <v>14</v>
      </c>
      <c r="J196" s="7">
        <v>12.9</v>
      </c>
      <c r="K196" s="7">
        <v>0</v>
      </c>
      <c r="L196" s="7">
        <v>14.2</v>
      </c>
      <c r="M196" s="7">
        <v>41</v>
      </c>
      <c r="N196" s="2">
        <f t="shared" ref="N196:N245" si="3">N195+D196-D195</f>
        <v>42505</v>
      </c>
      <c r="O196" s="6">
        <v>8.18958896</v>
      </c>
      <c r="P196" s="5">
        <v>5.2316729291091404</v>
      </c>
      <c r="Q196" s="5">
        <v>3.0868163722986099</v>
      </c>
      <c r="R196" s="5">
        <v>1.6962528214424499</v>
      </c>
    </row>
    <row r="197" spans="1:18" x14ac:dyDescent="0.4">
      <c r="A197" s="7">
        <v>50637</v>
      </c>
      <c r="B197" s="7">
        <v>219</v>
      </c>
      <c r="C197" s="7">
        <v>5</v>
      </c>
      <c r="D197" s="7">
        <v>209.5</v>
      </c>
      <c r="E197" s="7">
        <v>13.8</v>
      </c>
      <c r="F197" s="7" t="s">
        <v>22</v>
      </c>
      <c r="G197" s="7" t="s">
        <v>23</v>
      </c>
      <c r="H197" s="7">
        <v>40</v>
      </c>
      <c r="I197" s="7">
        <v>15</v>
      </c>
      <c r="J197" s="7">
        <v>11.2</v>
      </c>
      <c r="K197" s="7">
        <v>0</v>
      </c>
      <c r="L197" s="7">
        <v>12.5</v>
      </c>
      <c r="M197" s="7">
        <v>70</v>
      </c>
      <c r="N197" s="2">
        <f t="shared" si="3"/>
        <v>42506</v>
      </c>
      <c r="O197" s="6">
        <v>7.0880572400000004</v>
      </c>
      <c r="P197" s="5">
        <v>8.99482278735859</v>
      </c>
      <c r="Q197" s="5">
        <v>3.6093316229749299</v>
      </c>
      <c r="R197" s="5">
        <v>0.49754112204406398</v>
      </c>
    </row>
    <row r="198" spans="1:18" x14ac:dyDescent="0.4">
      <c r="A198" s="7">
        <v>50638</v>
      </c>
      <c r="B198" s="7">
        <v>219</v>
      </c>
      <c r="C198" s="7">
        <v>5</v>
      </c>
      <c r="D198" s="7">
        <v>210.5</v>
      </c>
      <c r="E198" s="7">
        <v>5.18</v>
      </c>
      <c r="F198" s="7" t="s">
        <v>22</v>
      </c>
      <c r="G198" s="7" t="s">
        <v>23</v>
      </c>
      <c r="H198" s="7">
        <v>40</v>
      </c>
      <c r="I198" s="7">
        <v>16</v>
      </c>
      <c r="J198" s="7">
        <v>13.2</v>
      </c>
      <c r="K198" s="7">
        <v>0</v>
      </c>
      <c r="L198" s="7">
        <v>14.2</v>
      </c>
      <c r="M198" s="7">
        <v>40</v>
      </c>
      <c r="N198" s="2">
        <f t="shared" si="3"/>
        <v>42507</v>
      </c>
      <c r="O198" s="6">
        <v>4.5095277600000001</v>
      </c>
      <c r="P198" s="5">
        <v>4.7710493095605901</v>
      </c>
      <c r="Q198" s="5">
        <v>2.2333527503308601</v>
      </c>
      <c r="R198" s="5">
        <v>1.8057334562263001</v>
      </c>
    </row>
    <row r="199" spans="1:18" x14ac:dyDescent="0.4">
      <c r="A199" s="7">
        <v>50639</v>
      </c>
      <c r="B199" s="7">
        <v>219</v>
      </c>
      <c r="C199" s="7">
        <v>5</v>
      </c>
      <c r="D199" s="7">
        <v>211.5</v>
      </c>
      <c r="E199" s="7">
        <v>1.23</v>
      </c>
      <c r="F199" s="7" t="s">
        <v>22</v>
      </c>
      <c r="G199" s="7" t="s">
        <v>23</v>
      </c>
      <c r="H199" s="7">
        <v>40</v>
      </c>
      <c r="I199" s="7">
        <v>17</v>
      </c>
      <c r="J199" s="7">
        <v>9.4</v>
      </c>
      <c r="K199" s="7">
        <v>0</v>
      </c>
      <c r="L199" s="7">
        <v>11.9</v>
      </c>
      <c r="M199" s="7">
        <v>62</v>
      </c>
      <c r="N199" s="2">
        <f t="shared" si="3"/>
        <v>42508</v>
      </c>
      <c r="O199" s="6">
        <v>2.96626638</v>
      </c>
      <c r="P199" s="5">
        <v>4.87586615298697</v>
      </c>
      <c r="Q199" s="5">
        <v>1.5022103031032901</v>
      </c>
      <c r="R199" s="5">
        <v>2.10586363559083</v>
      </c>
    </row>
    <row r="200" spans="1:18" x14ac:dyDescent="0.4">
      <c r="A200" s="7">
        <v>50640</v>
      </c>
      <c r="B200" s="7">
        <v>219</v>
      </c>
      <c r="C200" s="7">
        <v>5</v>
      </c>
      <c r="D200" s="7">
        <v>212.5</v>
      </c>
      <c r="E200" s="7">
        <v>0.86</v>
      </c>
      <c r="F200" s="7" t="s">
        <v>22</v>
      </c>
      <c r="G200" s="7" t="s">
        <v>23</v>
      </c>
      <c r="H200" s="7">
        <v>40</v>
      </c>
      <c r="I200" s="7">
        <v>18</v>
      </c>
      <c r="J200" s="7">
        <v>13.6</v>
      </c>
      <c r="K200" s="7">
        <v>0</v>
      </c>
      <c r="L200" s="7">
        <v>15.3</v>
      </c>
      <c r="M200" s="7">
        <v>39</v>
      </c>
      <c r="N200" s="2">
        <f t="shared" si="3"/>
        <v>42509</v>
      </c>
      <c r="O200" s="6">
        <v>2.1216066200000001</v>
      </c>
      <c r="P200" s="5">
        <v>3.1845251453588101</v>
      </c>
      <c r="Q200" s="5">
        <v>1.06551286581882</v>
      </c>
      <c r="R200" s="5">
        <v>2.34096166772953</v>
      </c>
    </row>
    <row r="201" spans="1:18" x14ac:dyDescent="0.4">
      <c r="A201" s="7">
        <v>50641</v>
      </c>
      <c r="B201" s="7">
        <v>219</v>
      </c>
      <c r="C201" s="7">
        <v>5</v>
      </c>
      <c r="D201" s="7">
        <v>213.5</v>
      </c>
      <c r="E201" s="7">
        <v>3.87</v>
      </c>
      <c r="F201" s="7" t="s">
        <v>22</v>
      </c>
      <c r="G201" s="7" t="s">
        <v>23</v>
      </c>
      <c r="H201" s="7">
        <v>40</v>
      </c>
      <c r="I201" s="7">
        <v>19</v>
      </c>
      <c r="J201" s="7">
        <v>12.3</v>
      </c>
      <c r="K201" s="7">
        <v>0</v>
      </c>
      <c r="L201" s="7">
        <v>13.6</v>
      </c>
      <c r="M201" s="7">
        <v>61</v>
      </c>
      <c r="N201" s="2">
        <f t="shared" si="3"/>
        <v>42510</v>
      </c>
      <c r="O201" s="6">
        <v>1.8378239139999999</v>
      </c>
      <c r="P201" s="5">
        <v>4.8306567489715402</v>
      </c>
      <c r="Q201" s="5">
        <v>0.81140815141577605</v>
      </c>
      <c r="R201" s="5">
        <v>1.04041469987103</v>
      </c>
    </row>
    <row r="202" spans="1:18" x14ac:dyDescent="0.4">
      <c r="A202" s="7">
        <v>50642</v>
      </c>
      <c r="B202" s="7">
        <v>219</v>
      </c>
      <c r="C202" s="7">
        <v>5</v>
      </c>
      <c r="D202" s="7">
        <v>214.5</v>
      </c>
      <c r="E202" s="7">
        <v>4.08</v>
      </c>
      <c r="F202" s="7" t="s">
        <v>22</v>
      </c>
      <c r="G202" s="7" t="s">
        <v>23</v>
      </c>
      <c r="H202" s="7">
        <v>40</v>
      </c>
      <c r="I202" s="7">
        <v>20</v>
      </c>
      <c r="J202" s="7">
        <v>12.8</v>
      </c>
      <c r="K202" s="7">
        <v>0</v>
      </c>
      <c r="L202" s="7">
        <v>14.7</v>
      </c>
      <c r="M202" s="7">
        <v>38</v>
      </c>
      <c r="N202" s="2">
        <f t="shared" si="3"/>
        <v>42511</v>
      </c>
      <c r="O202" s="6">
        <v>1.5720461800000001</v>
      </c>
      <c r="P202" s="5">
        <v>4.8877332923304397</v>
      </c>
      <c r="Q202" s="5">
        <v>0.59061265000961205</v>
      </c>
      <c r="R202" s="5">
        <v>2.02807281942628</v>
      </c>
    </row>
    <row r="203" spans="1:18" x14ac:dyDescent="0.4">
      <c r="A203" s="7">
        <v>50643</v>
      </c>
      <c r="B203" s="7">
        <v>219</v>
      </c>
      <c r="C203" s="7">
        <v>5</v>
      </c>
      <c r="D203" s="7">
        <v>215.5</v>
      </c>
      <c r="E203" s="7">
        <v>1.02</v>
      </c>
      <c r="F203" s="7" t="s">
        <v>22</v>
      </c>
      <c r="G203" s="7" t="s">
        <v>23</v>
      </c>
      <c r="H203" s="7">
        <v>40</v>
      </c>
      <c r="I203" s="7">
        <v>21</v>
      </c>
      <c r="J203" s="7">
        <v>17.600000000000001</v>
      </c>
      <c r="K203" s="7">
        <v>13.4</v>
      </c>
      <c r="L203" s="7">
        <v>18.600000000000001</v>
      </c>
      <c r="M203" s="7">
        <v>53</v>
      </c>
      <c r="N203" s="2">
        <f t="shared" si="3"/>
        <v>42512</v>
      </c>
      <c r="O203" s="6">
        <v>1.76128584</v>
      </c>
      <c r="P203" s="5">
        <v>5.73063624614809</v>
      </c>
      <c r="Q203" s="5">
        <v>0.52522659185494702</v>
      </c>
      <c r="R203" s="5">
        <v>2.5992593348470199</v>
      </c>
    </row>
    <row r="204" spans="1:18" x14ac:dyDescent="0.4">
      <c r="A204" s="7">
        <v>50644</v>
      </c>
      <c r="B204" s="7">
        <v>219</v>
      </c>
      <c r="C204" s="7">
        <v>5</v>
      </c>
      <c r="D204" s="7">
        <v>216.5</v>
      </c>
      <c r="E204" s="7">
        <v>2.04</v>
      </c>
      <c r="F204" s="7" t="s">
        <v>22</v>
      </c>
      <c r="G204" s="7" t="s">
        <v>23</v>
      </c>
      <c r="H204" s="7">
        <v>40</v>
      </c>
      <c r="I204" s="7">
        <v>22</v>
      </c>
      <c r="J204" s="7">
        <v>10.199999999999999</v>
      </c>
      <c r="K204" s="7">
        <v>0</v>
      </c>
      <c r="L204" s="7">
        <v>12.6</v>
      </c>
      <c r="M204" s="7">
        <v>72</v>
      </c>
      <c r="N204" s="2">
        <f t="shared" si="3"/>
        <v>42513</v>
      </c>
      <c r="O204" s="6">
        <v>1.9925714999999999</v>
      </c>
      <c r="P204" s="5">
        <v>8.6351030880847794</v>
      </c>
      <c r="Q204" s="5">
        <v>0.43179534079537002</v>
      </c>
      <c r="R204" s="5">
        <v>0.64020483555367602</v>
      </c>
    </row>
    <row r="205" spans="1:18" x14ac:dyDescent="0.4">
      <c r="A205" s="7">
        <v>50645</v>
      </c>
      <c r="B205" s="7">
        <v>219</v>
      </c>
      <c r="C205" s="7">
        <v>5</v>
      </c>
      <c r="D205" s="7">
        <v>217.5</v>
      </c>
      <c r="E205" s="7">
        <v>1.56</v>
      </c>
      <c r="F205" s="7" t="s">
        <v>22</v>
      </c>
      <c r="G205" s="7" t="s">
        <v>23</v>
      </c>
      <c r="H205" s="7">
        <v>40</v>
      </c>
      <c r="I205" s="7">
        <v>23</v>
      </c>
      <c r="J205" s="7">
        <v>9.1999999999999993</v>
      </c>
      <c r="K205" s="7">
        <v>0</v>
      </c>
      <c r="L205" s="7">
        <v>11</v>
      </c>
      <c r="M205" s="7">
        <v>40</v>
      </c>
      <c r="N205" s="2">
        <f t="shared" si="3"/>
        <v>42514</v>
      </c>
      <c r="O205" s="6">
        <v>1.4427821199999999</v>
      </c>
      <c r="P205" s="5">
        <v>4.8408864090492498</v>
      </c>
      <c r="Q205" s="5">
        <v>0.36582579048142799</v>
      </c>
      <c r="R205" s="5">
        <v>2.1763354374174999</v>
      </c>
    </row>
    <row r="206" spans="1:18" x14ac:dyDescent="0.4">
      <c r="A206" s="7">
        <v>50646</v>
      </c>
      <c r="B206" s="7">
        <v>219</v>
      </c>
      <c r="C206" s="7">
        <v>5</v>
      </c>
      <c r="D206" s="7">
        <v>218.5</v>
      </c>
      <c r="E206" s="7">
        <v>1.28</v>
      </c>
      <c r="F206" s="7" t="s">
        <v>22</v>
      </c>
      <c r="G206" s="7" t="s">
        <v>23</v>
      </c>
      <c r="H206" s="7">
        <v>40</v>
      </c>
      <c r="I206" s="7">
        <v>24</v>
      </c>
      <c r="J206" s="7">
        <v>15.4</v>
      </c>
      <c r="K206" s="7">
        <v>0</v>
      </c>
      <c r="L206" s="7">
        <v>15.7</v>
      </c>
      <c r="M206" s="7">
        <v>62</v>
      </c>
      <c r="N206" s="2">
        <f t="shared" si="3"/>
        <v>42515</v>
      </c>
      <c r="O206" s="6">
        <v>1.4022365999999999</v>
      </c>
      <c r="P206" s="5">
        <v>3.33216505413204</v>
      </c>
      <c r="Q206" s="5">
        <v>0.23187105686273099</v>
      </c>
      <c r="R206" s="5">
        <v>2.2188444803106</v>
      </c>
    </row>
    <row r="207" spans="1:18" x14ac:dyDescent="0.4">
      <c r="A207" s="7">
        <v>50647</v>
      </c>
      <c r="B207" s="7">
        <v>219</v>
      </c>
      <c r="C207" s="7">
        <v>5</v>
      </c>
      <c r="D207" s="7">
        <v>219.5</v>
      </c>
      <c r="E207" s="7">
        <v>0.82</v>
      </c>
      <c r="F207" s="7" t="s">
        <v>22</v>
      </c>
      <c r="G207" s="7" t="s">
        <v>23</v>
      </c>
      <c r="H207" s="7">
        <v>40</v>
      </c>
      <c r="I207" s="7">
        <v>25</v>
      </c>
      <c r="J207" s="7">
        <v>15.7</v>
      </c>
      <c r="K207" s="7">
        <v>0</v>
      </c>
      <c r="L207" s="7">
        <v>17.100000000000001</v>
      </c>
      <c r="M207" s="7">
        <v>59</v>
      </c>
      <c r="N207" s="2">
        <f t="shared" si="3"/>
        <v>42516</v>
      </c>
      <c r="O207" s="6">
        <v>1.5021745200000001</v>
      </c>
      <c r="P207" s="5">
        <v>3.9228736051338799</v>
      </c>
      <c r="Q207" s="5">
        <v>0.165382105579192</v>
      </c>
      <c r="R207" s="5">
        <v>2.48190701948135</v>
      </c>
    </row>
    <row r="208" spans="1:18" x14ac:dyDescent="0.4">
      <c r="A208" s="7">
        <v>50648</v>
      </c>
      <c r="B208" s="7">
        <v>219</v>
      </c>
      <c r="C208" s="7">
        <v>5</v>
      </c>
      <c r="D208" s="7">
        <v>220.5</v>
      </c>
      <c r="E208" s="7">
        <v>1.48</v>
      </c>
      <c r="F208" s="7" t="s">
        <v>22</v>
      </c>
      <c r="G208" s="7" t="s">
        <v>23</v>
      </c>
      <c r="H208" s="7">
        <v>40</v>
      </c>
      <c r="I208" s="7">
        <v>26</v>
      </c>
      <c r="J208" s="7">
        <v>14.9</v>
      </c>
      <c r="K208" s="7">
        <v>0</v>
      </c>
      <c r="L208" s="7">
        <v>17</v>
      </c>
      <c r="M208" s="7">
        <v>39</v>
      </c>
      <c r="N208" s="2">
        <f t="shared" si="3"/>
        <v>42517</v>
      </c>
      <c r="O208" s="6">
        <v>1.4385790000000001</v>
      </c>
      <c r="P208" s="5">
        <v>3.6253266532922899</v>
      </c>
      <c r="Q208" s="5">
        <v>0.19473044868066999</v>
      </c>
      <c r="R208" s="5">
        <v>2.58049096736538</v>
      </c>
    </row>
    <row r="209" spans="1:18" x14ac:dyDescent="0.4">
      <c r="A209" s="7">
        <v>50649</v>
      </c>
      <c r="B209" s="7">
        <v>219</v>
      </c>
      <c r="C209" s="7">
        <v>5</v>
      </c>
      <c r="D209" s="7">
        <v>221.5</v>
      </c>
      <c r="E209" s="7">
        <v>1.06</v>
      </c>
      <c r="F209" s="7" t="s">
        <v>22</v>
      </c>
      <c r="G209" s="7" t="s">
        <v>23</v>
      </c>
      <c r="H209" s="7">
        <v>40</v>
      </c>
      <c r="I209" s="7">
        <v>27</v>
      </c>
      <c r="J209" s="7">
        <v>17.100000000000001</v>
      </c>
      <c r="K209" s="7">
        <v>0</v>
      </c>
      <c r="L209" s="7">
        <v>19</v>
      </c>
      <c r="M209" s="7">
        <v>56</v>
      </c>
      <c r="N209" s="2">
        <f t="shared" si="3"/>
        <v>42518</v>
      </c>
      <c r="O209" s="6">
        <v>1.5353231000000001</v>
      </c>
      <c r="P209" s="5">
        <v>4.8971160522887098</v>
      </c>
      <c r="Q209" s="5">
        <v>0.29651299045395102</v>
      </c>
      <c r="R209" s="5">
        <v>3.7789182162313502</v>
      </c>
    </row>
    <row r="210" spans="1:18" x14ac:dyDescent="0.4">
      <c r="A210" s="7">
        <v>50650</v>
      </c>
      <c r="B210" s="7">
        <v>219</v>
      </c>
      <c r="C210" s="7">
        <v>5</v>
      </c>
      <c r="D210" s="7">
        <v>222.5</v>
      </c>
      <c r="E210" s="7">
        <v>3.53</v>
      </c>
      <c r="F210" s="7" t="s">
        <v>22</v>
      </c>
      <c r="G210" s="7" t="s">
        <v>23</v>
      </c>
      <c r="H210" s="7">
        <v>40</v>
      </c>
      <c r="I210" s="7">
        <v>28</v>
      </c>
      <c r="J210" s="7">
        <v>15.6</v>
      </c>
      <c r="K210" s="7">
        <v>20.9</v>
      </c>
      <c r="L210" s="7">
        <v>17.7</v>
      </c>
      <c r="M210" s="7">
        <v>41</v>
      </c>
      <c r="N210" s="2">
        <f t="shared" si="3"/>
        <v>42519</v>
      </c>
      <c r="O210" s="6">
        <v>1.8307768799999999</v>
      </c>
      <c r="P210" s="5">
        <v>6.2759829608193396</v>
      </c>
      <c r="Q210" s="5">
        <v>0.36931893082045902</v>
      </c>
      <c r="R210" s="5">
        <v>2.4840280609394298</v>
      </c>
    </row>
    <row r="211" spans="1:18" x14ac:dyDescent="0.4">
      <c r="A211" s="7">
        <v>50651</v>
      </c>
      <c r="B211" s="7">
        <v>219</v>
      </c>
      <c r="C211" s="7">
        <v>5</v>
      </c>
      <c r="D211" s="7">
        <v>223.5</v>
      </c>
      <c r="E211" s="7">
        <v>1.31</v>
      </c>
      <c r="F211" s="7" t="s">
        <v>22</v>
      </c>
      <c r="G211" s="7" t="s">
        <v>23</v>
      </c>
      <c r="H211" s="7">
        <v>40</v>
      </c>
      <c r="I211" s="7">
        <v>29</v>
      </c>
      <c r="J211" s="7">
        <v>13.8</v>
      </c>
      <c r="K211" s="7">
        <v>0</v>
      </c>
      <c r="L211" s="7">
        <v>15.5</v>
      </c>
      <c r="M211" s="7">
        <v>43</v>
      </c>
      <c r="N211" s="2">
        <f t="shared" si="3"/>
        <v>42520</v>
      </c>
      <c r="O211" s="6">
        <v>1.7408416799999999</v>
      </c>
      <c r="P211" s="5">
        <v>3.15462421259411</v>
      </c>
      <c r="Q211" s="5">
        <v>0.21987546457276</v>
      </c>
      <c r="R211" s="5">
        <v>2.4363858631333701</v>
      </c>
    </row>
    <row r="212" spans="1:18" x14ac:dyDescent="0.4">
      <c r="A212" s="7">
        <v>50652</v>
      </c>
      <c r="B212" s="7">
        <v>219</v>
      </c>
      <c r="C212" s="7">
        <v>5</v>
      </c>
      <c r="D212" s="7">
        <v>224.5</v>
      </c>
      <c r="E212" s="7">
        <v>0.95</v>
      </c>
      <c r="F212" s="7" t="s">
        <v>22</v>
      </c>
      <c r="G212" s="7" t="s">
        <v>23</v>
      </c>
      <c r="H212" s="7">
        <v>40</v>
      </c>
      <c r="I212" s="7">
        <v>30</v>
      </c>
      <c r="J212" s="7">
        <v>13.4</v>
      </c>
      <c r="K212" s="7">
        <v>0</v>
      </c>
      <c r="L212" s="7">
        <v>15.4</v>
      </c>
      <c r="M212" s="7">
        <v>67</v>
      </c>
      <c r="N212" s="2">
        <f t="shared" si="3"/>
        <v>42521</v>
      </c>
      <c r="O212" s="6">
        <v>1.7657863</v>
      </c>
      <c r="P212" s="5">
        <v>4.6202612665436797</v>
      </c>
      <c r="Q212" s="5">
        <v>0.24343823487729899</v>
      </c>
      <c r="R212" s="5">
        <v>1.9333023841328101</v>
      </c>
    </row>
    <row r="213" spans="1:18" x14ac:dyDescent="0.4">
      <c r="A213" s="7">
        <v>50653</v>
      </c>
      <c r="B213" s="7">
        <v>219</v>
      </c>
      <c r="C213" s="7">
        <v>5</v>
      </c>
      <c r="D213" s="7">
        <v>225.5</v>
      </c>
      <c r="E213" s="7">
        <v>1.02</v>
      </c>
      <c r="F213" s="7" t="s">
        <v>22</v>
      </c>
      <c r="G213" s="7" t="s">
        <v>23</v>
      </c>
      <c r="H213" s="7">
        <v>40</v>
      </c>
      <c r="I213" s="7">
        <v>31</v>
      </c>
      <c r="J213" s="7">
        <v>13.9</v>
      </c>
      <c r="K213" s="7">
        <v>2.2000000000000002</v>
      </c>
      <c r="L213" s="7">
        <v>15</v>
      </c>
      <c r="M213" s="7">
        <v>73</v>
      </c>
      <c r="N213" s="2">
        <f t="shared" si="3"/>
        <v>42522</v>
      </c>
      <c r="O213" s="6">
        <v>2.1073325199999999</v>
      </c>
      <c r="P213" s="5">
        <v>5.0197653608249997</v>
      </c>
      <c r="Q213" s="5">
        <v>0.46756489458158301</v>
      </c>
      <c r="R213" s="5">
        <v>1.06399140392169</v>
      </c>
    </row>
    <row r="214" spans="1:18" x14ac:dyDescent="0.4">
      <c r="A214" s="7">
        <v>50654</v>
      </c>
      <c r="B214" s="7">
        <v>219</v>
      </c>
      <c r="C214" s="7">
        <v>5</v>
      </c>
      <c r="D214" s="7">
        <v>226.5</v>
      </c>
      <c r="E214" s="7">
        <v>1.3</v>
      </c>
      <c r="F214" s="7" t="s">
        <v>22</v>
      </c>
      <c r="G214" s="7" t="s">
        <v>23</v>
      </c>
      <c r="H214" s="7">
        <v>40</v>
      </c>
      <c r="I214" s="7">
        <v>32</v>
      </c>
      <c r="J214" s="7">
        <v>14.7</v>
      </c>
      <c r="K214" s="7">
        <v>0</v>
      </c>
      <c r="L214" s="7">
        <v>15.3</v>
      </c>
      <c r="M214" s="7">
        <v>40</v>
      </c>
      <c r="N214" s="2">
        <f t="shared" si="3"/>
        <v>42523</v>
      </c>
      <c r="O214" s="6">
        <v>1.6448799000000001</v>
      </c>
      <c r="P214" s="5">
        <v>3.6315847145801099</v>
      </c>
      <c r="Q214" s="5">
        <v>0.29472443504192197</v>
      </c>
      <c r="R214" s="5">
        <v>2.6802748217493599</v>
      </c>
    </row>
    <row r="215" spans="1:18" x14ac:dyDescent="0.4">
      <c r="A215" s="7">
        <v>50655</v>
      </c>
      <c r="B215" s="7">
        <v>219</v>
      </c>
      <c r="C215" s="7">
        <v>5</v>
      </c>
      <c r="D215" s="7">
        <v>227.5</v>
      </c>
      <c r="E215" s="7">
        <v>1.46</v>
      </c>
      <c r="F215" s="7" t="s">
        <v>22</v>
      </c>
      <c r="G215" s="7" t="s">
        <v>23</v>
      </c>
      <c r="H215" s="7">
        <v>40</v>
      </c>
      <c r="I215" s="7">
        <v>33</v>
      </c>
      <c r="J215" s="7">
        <v>14.2</v>
      </c>
      <c r="K215" s="7">
        <v>0</v>
      </c>
      <c r="L215" s="7">
        <v>15.6</v>
      </c>
      <c r="M215" s="7">
        <v>68</v>
      </c>
      <c r="N215" s="2">
        <f t="shared" si="3"/>
        <v>42524</v>
      </c>
      <c r="O215" s="6">
        <v>1.5713314</v>
      </c>
      <c r="P215" s="5">
        <v>4.50522137758208</v>
      </c>
      <c r="Q215" s="5">
        <v>0.227186538479968</v>
      </c>
      <c r="R215" s="5">
        <v>2.1848732059887901</v>
      </c>
    </row>
    <row r="216" spans="1:18" x14ac:dyDescent="0.4">
      <c r="A216" s="7">
        <v>50656</v>
      </c>
      <c r="B216" s="7">
        <v>219</v>
      </c>
      <c r="C216" s="7">
        <v>5</v>
      </c>
      <c r="D216" s="7">
        <v>228.5</v>
      </c>
      <c r="E216" s="7">
        <v>1.69</v>
      </c>
      <c r="F216" s="7" t="s">
        <v>22</v>
      </c>
      <c r="G216" s="7" t="s">
        <v>23</v>
      </c>
      <c r="H216" s="7">
        <v>40</v>
      </c>
      <c r="I216" s="7">
        <v>34</v>
      </c>
      <c r="J216" s="7">
        <v>15.5</v>
      </c>
      <c r="K216" s="7">
        <v>0</v>
      </c>
      <c r="L216" s="7">
        <v>16</v>
      </c>
      <c r="M216" s="7">
        <v>39</v>
      </c>
      <c r="N216" s="2">
        <f t="shared" si="3"/>
        <v>42525</v>
      </c>
      <c r="O216" s="6">
        <v>1.44136424</v>
      </c>
      <c r="P216" s="5">
        <v>3.3311099095568002</v>
      </c>
      <c r="Q216" s="5">
        <v>0.172274463731317</v>
      </c>
      <c r="R216" s="5">
        <v>2.61017128484787</v>
      </c>
    </row>
    <row r="217" spans="1:18" x14ac:dyDescent="0.4">
      <c r="A217" s="7">
        <v>50657</v>
      </c>
      <c r="B217" s="7">
        <v>219</v>
      </c>
      <c r="C217" s="7">
        <v>5</v>
      </c>
      <c r="D217" s="7">
        <v>229.5</v>
      </c>
      <c r="E217" s="7">
        <v>0.86</v>
      </c>
      <c r="F217" s="7" t="s">
        <v>22</v>
      </c>
      <c r="G217" s="7" t="s">
        <v>23</v>
      </c>
      <c r="H217" s="7">
        <v>40</v>
      </c>
      <c r="I217" s="7">
        <v>35</v>
      </c>
      <c r="J217" s="7">
        <v>17</v>
      </c>
      <c r="K217" s="7">
        <v>0</v>
      </c>
      <c r="L217" s="7">
        <v>17.899999999999999</v>
      </c>
      <c r="M217" s="7">
        <v>62</v>
      </c>
      <c r="N217" s="2">
        <f t="shared" si="3"/>
        <v>42526</v>
      </c>
      <c r="O217" s="6">
        <v>1.5536779000000001</v>
      </c>
      <c r="P217" s="5">
        <v>4.7736103888834602</v>
      </c>
      <c r="Q217" s="5">
        <v>0.192072813608095</v>
      </c>
      <c r="R217" s="5">
        <v>2.61379644041223</v>
      </c>
    </row>
    <row r="218" spans="1:18" x14ac:dyDescent="0.4">
      <c r="A218" s="7">
        <v>50658</v>
      </c>
      <c r="B218" s="7">
        <v>219</v>
      </c>
      <c r="C218" s="7">
        <v>5</v>
      </c>
      <c r="D218" s="7">
        <v>231.5</v>
      </c>
      <c r="E218" s="7">
        <v>0.88</v>
      </c>
      <c r="F218" s="7" t="s">
        <v>22</v>
      </c>
      <c r="G218" s="7" t="s">
        <v>23</v>
      </c>
      <c r="H218" s="7">
        <v>40</v>
      </c>
      <c r="I218" s="7">
        <v>37</v>
      </c>
      <c r="J218" s="7">
        <v>17.8</v>
      </c>
      <c r="K218" s="7">
        <v>2.7</v>
      </c>
      <c r="L218" s="7">
        <v>18.899999999999999</v>
      </c>
      <c r="M218" s="7">
        <v>38</v>
      </c>
      <c r="N218" s="2">
        <f t="shared" si="3"/>
        <v>42528</v>
      </c>
      <c r="O218" s="6">
        <v>1.8781859000000001</v>
      </c>
      <c r="P218" s="5">
        <v>3.7083021692367901</v>
      </c>
      <c r="Q218" s="5">
        <v>0.29675490353412898</v>
      </c>
      <c r="R218" s="5">
        <v>2.2248370834008102</v>
      </c>
    </row>
    <row r="219" spans="1:18" x14ac:dyDescent="0.4">
      <c r="A219" s="7">
        <v>50659</v>
      </c>
      <c r="B219" s="7">
        <v>219</v>
      </c>
      <c r="C219" s="7">
        <v>5</v>
      </c>
      <c r="D219" s="7">
        <v>232.5</v>
      </c>
      <c r="E219" s="7">
        <v>1.2</v>
      </c>
      <c r="F219" s="7" t="s">
        <v>22</v>
      </c>
      <c r="G219" s="7" t="s">
        <v>23</v>
      </c>
      <c r="H219" s="7">
        <v>40</v>
      </c>
      <c r="I219" s="7">
        <v>38</v>
      </c>
      <c r="J219" s="7">
        <v>17.399999999999999</v>
      </c>
      <c r="K219" s="7">
        <v>0</v>
      </c>
      <c r="L219" s="7">
        <v>18.3</v>
      </c>
      <c r="M219" s="7">
        <v>57</v>
      </c>
      <c r="N219" s="2">
        <f t="shared" si="3"/>
        <v>42529</v>
      </c>
      <c r="O219" s="6">
        <v>1.6238781</v>
      </c>
      <c r="P219" s="5">
        <v>4.4505008775379196</v>
      </c>
      <c r="Q219" s="5">
        <v>0.36501764431129202</v>
      </c>
      <c r="R219" s="5">
        <v>3.4629500867098701</v>
      </c>
    </row>
    <row r="220" spans="1:18" x14ac:dyDescent="0.4">
      <c r="A220" s="7">
        <v>50660</v>
      </c>
      <c r="B220" s="7">
        <v>219</v>
      </c>
      <c r="C220" s="7">
        <v>5</v>
      </c>
      <c r="D220" s="7">
        <v>233.5</v>
      </c>
      <c r="E220" s="7">
        <v>0.86</v>
      </c>
      <c r="F220" s="7" t="s">
        <v>22</v>
      </c>
      <c r="G220" s="7" t="s">
        <v>23</v>
      </c>
      <c r="H220" s="7">
        <v>40</v>
      </c>
      <c r="I220" s="7">
        <v>39</v>
      </c>
      <c r="J220" s="7">
        <v>17.7</v>
      </c>
      <c r="K220" s="7">
        <v>0</v>
      </c>
      <c r="L220" s="7">
        <v>19.399999999999999</v>
      </c>
      <c r="M220" s="7">
        <v>52</v>
      </c>
      <c r="N220" s="2">
        <f t="shared" si="3"/>
        <v>42530</v>
      </c>
      <c r="O220" s="6">
        <v>1.5226830600000001</v>
      </c>
      <c r="P220" s="5">
        <v>3.9570370284257002</v>
      </c>
      <c r="Q220" s="5">
        <v>0.38591255990867701</v>
      </c>
      <c r="R220" s="5">
        <v>2.4261350032144602</v>
      </c>
    </row>
    <row r="221" spans="1:18" x14ac:dyDescent="0.4">
      <c r="A221" s="7">
        <v>50661</v>
      </c>
      <c r="B221" s="7">
        <v>219</v>
      </c>
      <c r="C221" s="7">
        <v>5</v>
      </c>
      <c r="D221" s="7">
        <v>234.5</v>
      </c>
      <c r="E221" s="7">
        <v>1.1100000000000001</v>
      </c>
      <c r="F221" s="7" t="s">
        <v>22</v>
      </c>
      <c r="G221" s="7" t="s">
        <v>23</v>
      </c>
      <c r="H221" s="7">
        <v>40</v>
      </c>
      <c r="I221" s="7">
        <v>40</v>
      </c>
      <c r="J221" s="7">
        <v>19</v>
      </c>
      <c r="K221" s="7">
        <v>0</v>
      </c>
      <c r="L221" s="7">
        <v>19.7</v>
      </c>
      <c r="M221" s="7">
        <v>48</v>
      </c>
      <c r="N221" s="2">
        <f t="shared" si="3"/>
        <v>42531</v>
      </c>
      <c r="O221" s="6">
        <v>1.5163279599999999</v>
      </c>
      <c r="P221" s="5">
        <v>5.0645780002146203</v>
      </c>
      <c r="Q221" s="5">
        <v>0.34782143080261502</v>
      </c>
      <c r="R221" s="5">
        <v>2.7065854969831902</v>
      </c>
    </row>
    <row r="222" spans="1:18" x14ac:dyDescent="0.4">
      <c r="A222" s="7">
        <v>50662</v>
      </c>
      <c r="B222" s="7">
        <v>219</v>
      </c>
      <c r="C222" s="7">
        <v>5</v>
      </c>
      <c r="D222" s="7">
        <v>235.5</v>
      </c>
      <c r="E222" s="7">
        <v>0.86</v>
      </c>
      <c r="F222" s="7" t="s">
        <v>22</v>
      </c>
      <c r="G222" s="7" t="s">
        <v>23</v>
      </c>
      <c r="H222" s="7">
        <v>40</v>
      </c>
      <c r="I222" s="7">
        <v>41</v>
      </c>
      <c r="J222" s="7">
        <v>16.399999999999999</v>
      </c>
      <c r="K222" s="7">
        <v>0.8</v>
      </c>
      <c r="L222" s="7">
        <v>18.600000000000001</v>
      </c>
      <c r="M222" s="7">
        <v>37</v>
      </c>
      <c r="N222" s="2">
        <f t="shared" si="3"/>
        <v>42532</v>
      </c>
      <c r="O222" s="6">
        <v>1.5337995600000001</v>
      </c>
      <c r="P222" s="5">
        <v>3.0775340948356602</v>
      </c>
      <c r="Q222" s="5">
        <v>0.26829046471533102</v>
      </c>
      <c r="R222" s="5">
        <v>2.3995853388957702</v>
      </c>
    </row>
    <row r="223" spans="1:18" x14ac:dyDescent="0.4">
      <c r="A223" s="7">
        <v>50663</v>
      </c>
      <c r="B223" s="7">
        <v>219</v>
      </c>
      <c r="C223" s="7">
        <v>5</v>
      </c>
      <c r="D223" s="7">
        <v>236.5</v>
      </c>
      <c r="E223" s="7">
        <v>0.86</v>
      </c>
      <c r="F223" s="7" t="s">
        <v>22</v>
      </c>
      <c r="G223" s="7" t="s">
        <v>23</v>
      </c>
      <c r="H223" s="7">
        <v>40</v>
      </c>
      <c r="I223" s="7">
        <v>42</v>
      </c>
      <c r="J223" s="7">
        <v>16.100000000000001</v>
      </c>
      <c r="K223" s="7">
        <v>0</v>
      </c>
      <c r="L223" s="7">
        <v>17.8</v>
      </c>
      <c r="M223" s="7">
        <v>61</v>
      </c>
      <c r="N223" s="2">
        <f t="shared" si="3"/>
        <v>42533</v>
      </c>
      <c r="O223" s="6">
        <v>1.71446608</v>
      </c>
      <c r="P223" s="5">
        <v>3.9022238899903501</v>
      </c>
      <c r="Q223" s="5">
        <v>0.40740342251171302</v>
      </c>
      <c r="R223" s="5">
        <v>2.8212281817070601</v>
      </c>
    </row>
    <row r="224" spans="1:18" x14ac:dyDescent="0.4">
      <c r="A224" s="7">
        <v>50664</v>
      </c>
      <c r="B224" s="7">
        <v>219</v>
      </c>
      <c r="C224" s="7">
        <v>5</v>
      </c>
      <c r="D224" s="7">
        <v>237.5</v>
      </c>
      <c r="E224" s="7">
        <v>0.86</v>
      </c>
      <c r="F224" s="7" t="s">
        <v>22</v>
      </c>
      <c r="G224" s="7" t="s">
        <v>23</v>
      </c>
      <c r="H224" s="7">
        <v>40</v>
      </c>
      <c r="I224" s="7">
        <v>43</v>
      </c>
      <c r="J224" s="7">
        <v>17.7</v>
      </c>
      <c r="K224" s="7">
        <v>0</v>
      </c>
      <c r="L224" s="7">
        <v>18.5</v>
      </c>
      <c r="M224" s="7">
        <v>58</v>
      </c>
      <c r="N224" s="2">
        <f t="shared" si="3"/>
        <v>42534</v>
      </c>
      <c r="O224" s="6">
        <v>1.8927613400000001</v>
      </c>
      <c r="P224" s="5">
        <v>4.2378921193725896</v>
      </c>
      <c r="Q224" s="5">
        <v>0.57698724169162796</v>
      </c>
      <c r="R224" s="5">
        <v>3.4897253189390698</v>
      </c>
    </row>
    <row r="225" spans="1:18" x14ac:dyDescent="0.4">
      <c r="A225" s="7">
        <v>50665</v>
      </c>
      <c r="B225" s="7">
        <v>219</v>
      </c>
      <c r="C225" s="7">
        <v>5</v>
      </c>
      <c r="D225" s="7">
        <v>238.5</v>
      </c>
      <c r="E225" s="7">
        <v>0.86</v>
      </c>
      <c r="F225" s="7" t="s">
        <v>22</v>
      </c>
      <c r="G225" s="7" t="s">
        <v>23</v>
      </c>
      <c r="H225" s="7">
        <v>40</v>
      </c>
      <c r="I225" s="7">
        <v>44</v>
      </c>
      <c r="J225" s="7">
        <v>15.9</v>
      </c>
      <c r="K225" s="7">
        <v>0</v>
      </c>
      <c r="L225" s="7">
        <v>17.7</v>
      </c>
      <c r="M225" s="7">
        <v>36</v>
      </c>
      <c r="N225" s="2">
        <f t="shared" si="3"/>
        <v>42535</v>
      </c>
      <c r="O225" s="6">
        <v>1.8077518400000001</v>
      </c>
      <c r="P225" s="5">
        <v>3.22305504166932</v>
      </c>
      <c r="Q225" s="5">
        <v>0.54901222837810104</v>
      </c>
      <c r="R225" s="5">
        <v>2.51495355502494</v>
      </c>
    </row>
    <row r="226" spans="1:18" x14ac:dyDescent="0.4">
      <c r="A226" s="7">
        <v>50666</v>
      </c>
      <c r="B226" s="7">
        <v>219</v>
      </c>
      <c r="C226" s="7">
        <v>5</v>
      </c>
      <c r="D226" s="7">
        <v>239.5</v>
      </c>
      <c r="E226" s="7">
        <v>1.02</v>
      </c>
      <c r="F226" s="7" t="s">
        <v>22</v>
      </c>
      <c r="G226" s="7" t="s">
        <v>23</v>
      </c>
      <c r="H226" s="7">
        <v>40</v>
      </c>
      <c r="I226" s="7">
        <v>45</v>
      </c>
      <c r="J226" s="7">
        <v>15.2</v>
      </c>
      <c r="K226" s="7">
        <v>18.399999999999999</v>
      </c>
      <c r="L226" s="7">
        <v>17</v>
      </c>
      <c r="M226" s="7">
        <v>38</v>
      </c>
      <c r="N226" s="2">
        <f t="shared" si="3"/>
        <v>42536</v>
      </c>
      <c r="O226" s="6">
        <v>2.1570893799999999</v>
      </c>
      <c r="P226" s="5">
        <v>4.9402469510921998</v>
      </c>
      <c r="Q226" s="5">
        <v>0.56775058351539098</v>
      </c>
      <c r="R226" s="5">
        <v>2.8376117496895201</v>
      </c>
    </row>
    <row r="227" spans="1:18" x14ac:dyDescent="0.4">
      <c r="A227" s="7">
        <v>50667</v>
      </c>
      <c r="B227" s="7">
        <v>219</v>
      </c>
      <c r="C227" s="7">
        <v>5</v>
      </c>
      <c r="D227" s="7">
        <v>240.5</v>
      </c>
      <c r="E227" s="7">
        <v>1.21</v>
      </c>
      <c r="F227" s="7" t="s">
        <v>22</v>
      </c>
      <c r="G227" s="7" t="s">
        <v>23</v>
      </c>
      <c r="H227" s="7">
        <v>40</v>
      </c>
      <c r="I227" s="7">
        <v>46</v>
      </c>
      <c r="J227" s="7">
        <v>13.7</v>
      </c>
      <c r="K227" s="7">
        <v>4</v>
      </c>
      <c r="L227" s="7">
        <v>16.7</v>
      </c>
      <c r="M227" s="7">
        <v>76</v>
      </c>
      <c r="N227" s="2">
        <f t="shared" si="3"/>
        <v>42537</v>
      </c>
      <c r="O227" s="6">
        <v>3.1565527000000002</v>
      </c>
      <c r="P227" s="5">
        <v>5.5545246129638901</v>
      </c>
      <c r="Q227" s="5">
        <v>0.59293994039629305</v>
      </c>
      <c r="R227" s="5">
        <v>1.38227810567721</v>
      </c>
    </row>
    <row r="228" spans="1:18" x14ac:dyDescent="0.4">
      <c r="A228" s="7">
        <v>50668</v>
      </c>
      <c r="B228" s="7">
        <v>219</v>
      </c>
      <c r="C228" s="7">
        <v>5</v>
      </c>
      <c r="D228" s="7">
        <v>241.5</v>
      </c>
      <c r="E228" s="7">
        <v>0.86</v>
      </c>
      <c r="F228" s="7" t="s">
        <v>22</v>
      </c>
      <c r="G228" s="7" t="s">
        <v>23</v>
      </c>
      <c r="H228" s="7">
        <v>40</v>
      </c>
      <c r="I228" s="7">
        <v>47</v>
      </c>
      <c r="J228" s="7">
        <v>13.3</v>
      </c>
      <c r="K228" s="7">
        <v>0</v>
      </c>
      <c r="L228" s="7">
        <v>15.4</v>
      </c>
      <c r="M228" s="7">
        <v>40</v>
      </c>
      <c r="N228" s="2">
        <f t="shared" si="3"/>
        <v>42538</v>
      </c>
      <c r="O228" s="6">
        <v>2.4652283000000002</v>
      </c>
      <c r="P228" s="5">
        <v>3.5177796742719498</v>
      </c>
      <c r="Q228" s="5">
        <v>0.53480624707070301</v>
      </c>
      <c r="R228" s="5">
        <v>2.3765144352822798</v>
      </c>
    </row>
    <row r="229" spans="1:18" x14ac:dyDescent="0.4">
      <c r="A229" s="7">
        <v>50669</v>
      </c>
      <c r="B229" s="7">
        <v>219</v>
      </c>
      <c r="C229" s="7">
        <v>5</v>
      </c>
      <c r="D229" s="7">
        <v>242.5</v>
      </c>
      <c r="E229" s="7">
        <v>0.86</v>
      </c>
      <c r="F229" s="7" t="s">
        <v>22</v>
      </c>
      <c r="G229" s="7" t="s">
        <v>23</v>
      </c>
      <c r="H229" s="7">
        <v>40</v>
      </c>
      <c r="I229" s="7">
        <v>48</v>
      </c>
      <c r="J229" s="7">
        <v>13.4</v>
      </c>
      <c r="K229" s="7">
        <v>0</v>
      </c>
      <c r="L229" s="7">
        <v>16.3</v>
      </c>
      <c r="M229" s="7">
        <v>72</v>
      </c>
      <c r="N229" s="2">
        <f t="shared" si="3"/>
        <v>42539</v>
      </c>
      <c r="O229" s="6">
        <v>2.1234133800000001</v>
      </c>
      <c r="P229" s="5">
        <v>5.0268552931586603</v>
      </c>
      <c r="Q229" s="5">
        <v>0.50148480340537904</v>
      </c>
      <c r="R229" s="5">
        <v>1.83042382029619</v>
      </c>
    </row>
    <row r="230" spans="1:18" x14ac:dyDescent="0.4">
      <c r="A230" s="7">
        <v>50670</v>
      </c>
      <c r="B230" s="7">
        <v>219</v>
      </c>
      <c r="C230" s="7">
        <v>5</v>
      </c>
      <c r="D230" s="7">
        <v>243.5</v>
      </c>
      <c r="E230" s="7">
        <v>0.83</v>
      </c>
      <c r="F230" s="7" t="s">
        <v>22</v>
      </c>
      <c r="G230" s="7" t="s">
        <v>23</v>
      </c>
      <c r="H230" s="7">
        <v>40</v>
      </c>
      <c r="I230" s="7">
        <v>49</v>
      </c>
      <c r="J230" s="7">
        <v>13.3</v>
      </c>
      <c r="K230" s="7">
        <v>6.4</v>
      </c>
      <c r="L230" s="7">
        <v>15.5</v>
      </c>
      <c r="M230" s="7">
        <v>39</v>
      </c>
      <c r="N230" s="2">
        <f t="shared" si="3"/>
        <v>42540</v>
      </c>
      <c r="O230" s="6">
        <v>2.1652340400000001</v>
      </c>
      <c r="P230" s="5">
        <v>3.8938427784363099</v>
      </c>
      <c r="Q230" s="5">
        <v>0.55915129713349798</v>
      </c>
      <c r="R230" s="5">
        <v>1.9715945118329301</v>
      </c>
    </row>
    <row r="231" spans="1:18" x14ac:dyDescent="0.4">
      <c r="A231" s="7">
        <v>50671</v>
      </c>
      <c r="B231" s="7">
        <v>219</v>
      </c>
      <c r="C231" s="7">
        <v>5</v>
      </c>
      <c r="D231" s="7">
        <v>244.5</v>
      </c>
      <c r="E231" s="7">
        <v>1.26</v>
      </c>
      <c r="F231" s="7" t="s">
        <v>22</v>
      </c>
      <c r="G231" s="7" t="s">
        <v>23</v>
      </c>
      <c r="H231" s="7">
        <v>40</v>
      </c>
      <c r="I231" s="7">
        <v>50</v>
      </c>
      <c r="J231" s="7">
        <v>14.8</v>
      </c>
      <c r="K231" s="7">
        <v>0</v>
      </c>
      <c r="L231" s="7">
        <v>15.7</v>
      </c>
      <c r="M231" s="7">
        <v>69</v>
      </c>
      <c r="N231" s="2">
        <f t="shared" si="3"/>
        <v>42541</v>
      </c>
      <c r="O231" s="6">
        <v>2.1734248599999999</v>
      </c>
      <c r="P231" s="5">
        <v>4.6965808355042302</v>
      </c>
      <c r="Q231" s="5">
        <v>0.56523840150182003</v>
      </c>
      <c r="R231" s="5">
        <v>1.98455877519303</v>
      </c>
    </row>
    <row r="232" spans="1:18" x14ac:dyDescent="0.4">
      <c r="A232" s="7">
        <v>50672</v>
      </c>
      <c r="B232" s="7">
        <v>219</v>
      </c>
      <c r="C232" s="7">
        <v>5</v>
      </c>
      <c r="D232" s="7">
        <v>245.5</v>
      </c>
      <c r="E232" s="7">
        <v>2.36</v>
      </c>
      <c r="F232" s="7" t="s">
        <v>22</v>
      </c>
      <c r="G232" s="7" t="s">
        <v>23</v>
      </c>
      <c r="H232" s="7">
        <v>40</v>
      </c>
      <c r="I232" s="7">
        <v>51</v>
      </c>
      <c r="J232" s="7">
        <v>16.100000000000001</v>
      </c>
      <c r="K232" s="7">
        <v>0</v>
      </c>
      <c r="L232" s="7">
        <v>17.600000000000001</v>
      </c>
      <c r="M232" s="7">
        <v>63</v>
      </c>
      <c r="N232" s="2">
        <f t="shared" si="3"/>
        <v>42542</v>
      </c>
      <c r="O232" s="6">
        <v>2.2063893399999999</v>
      </c>
      <c r="P232" s="5">
        <v>4.4290395677582302</v>
      </c>
      <c r="Q232" s="5">
        <v>0.68823950307919901</v>
      </c>
      <c r="R232" s="5">
        <v>2.68912368417016</v>
      </c>
    </row>
    <row r="233" spans="1:18" x14ac:dyDescent="0.4">
      <c r="A233" s="7">
        <v>50673</v>
      </c>
      <c r="B233" s="7">
        <v>219</v>
      </c>
      <c r="C233" s="7">
        <v>5</v>
      </c>
      <c r="D233" s="7">
        <v>246.5</v>
      </c>
      <c r="E233" s="7">
        <v>1.88</v>
      </c>
      <c r="F233" s="7" t="s">
        <v>22</v>
      </c>
      <c r="G233" s="7" t="s">
        <v>23</v>
      </c>
      <c r="H233" s="7">
        <v>40</v>
      </c>
      <c r="I233" s="7">
        <v>52</v>
      </c>
      <c r="J233" s="7">
        <v>20</v>
      </c>
      <c r="K233" s="7">
        <v>0</v>
      </c>
      <c r="L233" s="7">
        <v>20.100000000000001</v>
      </c>
      <c r="M233" s="7">
        <v>58</v>
      </c>
      <c r="N233" s="2">
        <f t="shared" si="3"/>
        <v>42543</v>
      </c>
      <c r="O233" s="6">
        <v>2.33801178</v>
      </c>
      <c r="P233" s="5">
        <v>5.5119587531496901</v>
      </c>
      <c r="Q233" s="5">
        <v>0.94933968868028296</v>
      </c>
      <c r="R233" s="5">
        <v>3.7194416014852201</v>
      </c>
    </row>
    <row r="234" spans="1:18" x14ac:dyDescent="0.4">
      <c r="A234" s="7">
        <v>50674</v>
      </c>
      <c r="B234" s="7">
        <v>219</v>
      </c>
      <c r="C234" s="7">
        <v>5</v>
      </c>
      <c r="D234" s="7">
        <v>247.5</v>
      </c>
      <c r="E234" s="7">
        <v>0.83</v>
      </c>
      <c r="F234" s="7" t="s">
        <v>22</v>
      </c>
      <c r="G234" s="7" t="s">
        <v>23</v>
      </c>
      <c r="H234" s="7">
        <v>40</v>
      </c>
      <c r="I234" s="7">
        <v>53</v>
      </c>
      <c r="J234" s="7">
        <v>21.3</v>
      </c>
      <c r="K234" s="7">
        <v>0</v>
      </c>
      <c r="L234" s="7">
        <v>22</v>
      </c>
      <c r="M234" s="7">
        <v>52</v>
      </c>
      <c r="N234" s="2">
        <f t="shared" si="3"/>
        <v>42544</v>
      </c>
      <c r="O234" s="6">
        <v>2.5119617600000002</v>
      </c>
      <c r="P234" s="5">
        <v>5.2580682799192502</v>
      </c>
      <c r="Q234" s="5">
        <v>1.35958453888786</v>
      </c>
      <c r="R234" s="5">
        <v>2.7718709529968799</v>
      </c>
    </row>
    <row r="235" spans="1:18" x14ac:dyDescent="0.4">
      <c r="A235" s="7">
        <v>50675</v>
      </c>
      <c r="B235" s="7">
        <v>219</v>
      </c>
      <c r="C235" s="7">
        <v>5</v>
      </c>
      <c r="D235" s="7">
        <v>248.5</v>
      </c>
      <c r="E235" s="7">
        <v>1.25</v>
      </c>
      <c r="F235" s="7" t="s">
        <v>22</v>
      </c>
      <c r="G235" s="7" t="s">
        <v>23</v>
      </c>
      <c r="H235" s="7">
        <v>40</v>
      </c>
      <c r="I235" s="7">
        <v>54</v>
      </c>
      <c r="J235" s="7">
        <v>21.3</v>
      </c>
      <c r="K235" s="7">
        <v>0</v>
      </c>
      <c r="L235" s="7">
        <v>23</v>
      </c>
      <c r="M235" s="7">
        <v>38</v>
      </c>
      <c r="N235" s="2">
        <f t="shared" si="3"/>
        <v>42545</v>
      </c>
      <c r="O235" s="6">
        <v>2.5191818600000002</v>
      </c>
      <c r="P235" s="5">
        <v>5.00574195144958</v>
      </c>
      <c r="Q235" s="5">
        <v>1.5575600767661599</v>
      </c>
      <c r="R235" s="5">
        <v>2.5387631386521199</v>
      </c>
    </row>
    <row r="236" spans="1:18" x14ac:dyDescent="0.4">
      <c r="A236" s="7">
        <v>50676</v>
      </c>
      <c r="B236" s="7">
        <v>219</v>
      </c>
      <c r="C236" s="7">
        <v>5</v>
      </c>
      <c r="D236" s="7">
        <v>249.5</v>
      </c>
      <c r="E236" s="7">
        <v>1.69</v>
      </c>
      <c r="F236" s="7" t="s">
        <v>22</v>
      </c>
      <c r="G236" s="7" t="s">
        <v>23</v>
      </c>
      <c r="H236" s="7">
        <v>40</v>
      </c>
      <c r="I236" s="7">
        <v>55</v>
      </c>
      <c r="J236" s="7">
        <v>20.399999999999999</v>
      </c>
      <c r="K236" s="7">
        <v>1.1000000000000001</v>
      </c>
      <c r="L236" s="7">
        <v>21.8</v>
      </c>
      <c r="M236" s="7">
        <v>47</v>
      </c>
      <c r="N236" s="2">
        <f t="shared" si="3"/>
        <v>42546</v>
      </c>
      <c r="O236" s="6">
        <v>2.5389223400000001</v>
      </c>
      <c r="P236" s="5">
        <v>4.4913256870217602</v>
      </c>
      <c r="Q236" s="5">
        <v>1.6107933176778799</v>
      </c>
      <c r="R236" s="5">
        <v>2.28281781763424</v>
      </c>
    </row>
    <row r="237" spans="1:18" x14ac:dyDescent="0.4">
      <c r="A237" s="7">
        <v>50677</v>
      </c>
      <c r="B237" s="7">
        <v>219</v>
      </c>
      <c r="C237" s="7">
        <v>5</v>
      </c>
      <c r="D237" s="7">
        <v>250.5</v>
      </c>
      <c r="E237" s="7">
        <v>1.77</v>
      </c>
      <c r="F237" s="7" t="s">
        <v>22</v>
      </c>
      <c r="G237" s="7" t="s">
        <v>23</v>
      </c>
      <c r="H237" s="7">
        <v>40</v>
      </c>
      <c r="I237" s="7">
        <v>56</v>
      </c>
      <c r="J237" s="7">
        <v>17</v>
      </c>
      <c r="K237" s="7">
        <v>0</v>
      </c>
      <c r="L237" s="7">
        <v>18.7</v>
      </c>
      <c r="M237" s="7">
        <v>46</v>
      </c>
      <c r="N237" s="2">
        <f t="shared" si="3"/>
        <v>42547</v>
      </c>
      <c r="O237" s="6">
        <v>2.3348517800000002</v>
      </c>
      <c r="P237" s="5">
        <v>3.9067025956197901</v>
      </c>
      <c r="Q237" s="5">
        <v>1.4173652932960501</v>
      </c>
      <c r="R237" s="5">
        <v>2.2174037737822201</v>
      </c>
    </row>
    <row r="238" spans="1:18" x14ac:dyDescent="0.4">
      <c r="A238" s="7">
        <v>50678</v>
      </c>
      <c r="B238" s="7">
        <v>219</v>
      </c>
      <c r="C238" s="7">
        <v>5</v>
      </c>
      <c r="D238" s="7">
        <v>251.5</v>
      </c>
      <c r="E238" s="7">
        <v>0.86</v>
      </c>
      <c r="F238" s="7" t="s">
        <v>22</v>
      </c>
      <c r="G238" s="7" t="s">
        <v>23</v>
      </c>
      <c r="H238" s="7">
        <v>40</v>
      </c>
      <c r="I238" s="7">
        <v>57</v>
      </c>
      <c r="J238" s="7">
        <v>15.9</v>
      </c>
      <c r="K238" s="7">
        <v>0</v>
      </c>
      <c r="L238" s="7">
        <v>17.8</v>
      </c>
      <c r="M238" s="7">
        <v>43</v>
      </c>
      <c r="N238" s="2">
        <f t="shared" si="3"/>
        <v>42548</v>
      </c>
      <c r="O238" s="6">
        <v>2.1358010599999999</v>
      </c>
      <c r="P238" s="5">
        <v>3.4299717214698502</v>
      </c>
      <c r="Q238" s="5">
        <v>1.2248185556958</v>
      </c>
      <c r="R238" s="5">
        <v>2.4911039228974001</v>
      </c>
    </row>
    <row r="239" spans="1:18" x14ac:dyDescent="0.4">
      <c r="A239" s="7">
        <v>50679</v>
      </c>
      <c r="B239" s="7">
        <v>219</v>
      </c>
      <c r="C239" s="7">
        <v>5</v>
      </c>
      <c r="D239" s="7">
        <v>252.5</v>
      </c>
      <c r="E239" s="7">
        <v>0.86</v>
      </c>
      <c r="F239" s="7" t="s">
        <v>22</v>
      </c>
      <c r="G239" s="7" t="s">
        <v>23</v>
      </c>
      <c r="H239" s="7">
        <v>40</v>
      </c>
      <c r="I239" s="7">
        <v>58</v>
      </c>
      <c r="J239" s="7">
        <v>15.5</v>
      </c>
      <c r="K239" s="7">
        <v>0</v>
      </c>
      <c r="L239" s="7">
        <v>17.899999999999999</v>
      </c>
      <c r="M239" s="7">
        <v>41</v>
      </c>
      <c r="N239" s="2">
        <f t="shared" si="3"/>
        <v>42549</v>
      </c>
      <c r="O239" s="6">
        <v>2.0347840399999999</v>
      </c>
      <c r="P239" s="5">
        <v>3.51950117370273</v>
      </c>
      <c r="Q239" s="5">
        <v>1.1242123235860899</v>
      </c>
      <c r="R239" s="5">
        <v>2.4838908689526402</v>
      </c>
    </row>
    <row r="240" spans="1:18" x14ac:dyDescent="0.4">
      <c r="A240" s="7">
        <v>50680</v>
      </c>
      <c r="B240" s="7">
        <v>219</v>
      </c>
      <c r="C240" s="7">
        <v>5</v>
      </c>
      <c r="D240" s="7">
        <v>253.5</v>
      </c>
      <c r="E240" s="7">
        <v>0.84</v>
      </c>
      <c r="F240" s="7" t="s">
        <v>22</v>
      </c>
      <c r="G240" s="7" t="s">
        <v>23</v>
      </c>
      <c r="H240" s="7">
        <v>40</v>
      </c>
      <c r="I240" s="7">
        <v>59</v>
      </c>
      <c r="J240" s="7">
        <v>20.3</v>
      </c>
      <c r="K240" s="7">
        <v>0</v>
      </c>
      <c r="L240" s="7">
        <v>21.5</v>
      </c>
      <c r="M240" s="7">
        <v>39</v>
      </c>
      <c r="N240" s="2">
        <f t="shared" si="3"/>
        <v>42550</v>
      </c>
      <c r="O240" s="6">
        <v>2.1709365799999998</v>
      </c>
      <c r="P240" s="5">
        <v>3.7567235764551601</v>
      </c>
      <c r="Q240" s="5">
        <v>1.29508207556535</v>
      </c>
      <c r="R240" s="5">
        <v>2.0269198095166101</v>
      </c>
    </row>
    <row r="241" spans="1:18" x14ac:dyDescent="0.4">
      <c r="A241" s="7">
        <v>50681</v>
      </c>
      <c r="B241" s="7">
        <v>219</v>
      </c>
      <c r="C241" s="7">
        <v>5</v>
      </c>
      <c r="D241" s="7">
        <v>254.5</v>
      </c>
      <c r="E241" s="7">
        <v>0.86</v>
      </c>
      <c r="F241" s="7" t="s">
        <v>22</v>
      </c>
      <c r="G241" s="7" t="s">
        <v>23</v>
      </c>
      <c r="H241" s="7">
        <v>40</v>
      </c>
      <c r="I241" s="7">
        <v>60</v>
      </c>
      <c r="J241" s="7">
        <v>20</v>
      </c>
      <c r="K241" s="7">
        <v>1.8</v>
      </c>
      <c r="L241" s="7">
        <v>21.8</v>
      </c>
      <c r="M241" s="7">
        <v>37</v>
      </c>
      <c r="N241" s="2">
        <f t="shared" si="3"/>
        <v>42551</v>
      </c>
      <c r="O241" s="6">
        <v>2.7431000999999999</v>
      </c>
      <c r="P241" s="5">
        <v>3.8848233303610602</v>
      </c>
      <c r="Q241" s="5">
        <v>2.0963943356497201</v>
      </c>
      <c r="R241" s="5">
        <v>2.0317211098297698</v>
      </c>
    </row>
    <row r="242" spans="1:18" x14ac:dyDescent="0.4">
      <c r="A242" s="7">
        <v>50682</v>
      </c>
      <c r="B242" s="7">
        <v>219</v>
      </c>
      <c r="C242" s="7">
        <v>5</v>
      </c>
      <c r="D242" s="7">
        <v>255.5</v>
      </c>
      <c r="E242" s="7">
        <v>0.86</v>
      </c>
      <c r="F242" s="7" t="s">
        <v>22</v>
      </c>
      <c r="G242" s="7" t="s">
        <v>23</v>
      </c>
      <c r="H242" s="7">
        <v>40</v>
      </c>
      <c r="I242" s="7">
        <v>61</v>
      </c>
      <c r="J242" s="7">
        <v>18.100000000000001</v>
      </c>
      <c r="K242" s="7">
        <v>0</v>
      </c>
      <c r="L242" s="7">
        <v>20.3</v>
      </c>
      <c r="M242" s="7">
        <v>38</v>
      </c>
      <c r="N242" s="2">
        <f t="shared" si="3"/>
        <v>42552</v>
      </c>
      <c r="O242" s="6">
        <v>3.27522928</v>
      </c>
      <c r="P242" s="5">
        <v>4.7021847401339096</v>
      </c>
      <c r="Q242" s="5">
        <v>3.1608762589566202</v>
      </c>
      <c r="R242" s="5">
        <v>2.86797844976231</v>
      </c>
    </row>
    <row r="243" spans="1:18" x14ac:dyDescent="0.4">
      <c r="A243" s="7">
        <v>50683</v>
      </c>
      <c r="B243" s="7">
        <v>219</v>
      </c>
      <c r="C243" s="7">
        <v>5</v>
      </c>
      <c r="D243" s="7">
        <v>256.5</v>
      </c>
      <c r="E243" s="7">
        <v>0.86</v>
      </c>
      <c r="F243" s="7" t="s">
        <v>22</v>
      </c>
      <c r="G243" s="7" t="s">
        <v>23</v>
      </c>
      <c r="H243" s="7">
        <v>40</v>
      </c>
      <c r="I243" s="7">
        <v>62</v>
      </c>
      <c r="J243" s="7">
        <v>22.1</v>
      </c>
      <c r="K243" s="7">
        <v>0</v>
      </c>
      <c r="L243" s="7">
        <v>23.8</v>
      </c>
      <c r="M243" s="7">
        <v>37</v>
      </c>
      <c r="N243" s="2">
        <f t="shared" si="3"/>
        <v>42553</v>
      </c>
      <c r="O243" s="6">
        <v>4.1501766</v>
      </c>
      <c r="P243" s="5">
        <v>6.0557066293491699</v>
      </c>
      <c r="Q243" s="5">
        <v>4.71433314007857</v>
      </c>
      <c r="R243" s="5">
        <v>2.53259012878148</v>
      </c>
    </row>
    <row r="244" spans="1:18" x14ac:dyDescent="0.4">
      <c r="A244" s="7">
        <v>50684</v>
      </c>
      <c r="B244" s="7">
        <v>219</v>
      </c>
      <c r="C244" s="7">
        <v>5</v>
      </c>
      <c r="D244" s="7">
        <v>257.5</v>
      </c>
      <c r="E244" s="7">
        <v>0.86</v>
      </c>
      <c r="F244" s="7" t="s">
        <v>22</v>
      </c>
      <c r="G244" s="7" t="s">
        <v>23</v>
      </c>
      <c r="H244" s="7">
        <v>40</v>
      </c>
      <c r="I244" s="7">
        <v>63</v>
      </c>
      <c r="J244" s="7">
        <v>17.399999999999999</v>
      </c>
      <c r="K244" s="7">
        <v>0</v>
      </c>
      <c r="L244" s="7">
        <v>19.2</v>
      </c>
      <c r="M244" s="7">
        <v>38</v>
      </c>
      <c r="N244" s="2">
        <f t="shared" si="3"/>
        <v>42554</v>
      </c>
      <c r="O244" s="6">
        <v>4.7876902599999998</v>
      </c>
      <c r="P244" s="5">
        <v>3.3327876240705798</v>
      </c>
      <c r="Q244" s="5">
        <v>5.7673963526589702</v>
      </c>
      <c r="R244" s="5">
        <v>2.3995420563129199</v>
      </c>
    </row>
    <row r="245" spans="1:18" x14ac:dyDescent="0.4">
      <c r="A245" s="7">
        <v>50685</v>
      </c>
      <c r="B245" s="7">
        <v>219</v>
      </c>
      <c r="C245" s="7">
        <v>5</v>
      </c>
      <c r="D245" s="7">
        <v>258.5</v>
      </c>
      <c r="E245" s="7">
        <v>1.07</v>
      </c>
      <c r="F245" s="7" t="s">
        <v>22</v>
      </c>
      <c r="G245" s="7" t="s">
        <v>23</v>
      </c>
      <c r="H245" s="7">
        <v>40</v>
      </c>
      <c r="I245" s="7">
        <v>64</v>
      </c>
      <c r="J245" s="7">
        <v>16.5</v>
      </c>
      <c r="K245" s="7">
        <v>5.8</v>
      </c>
      <c r="L245" s="7">
        <v>19.399999999999999</v>
      </c>
      <c r="M245" s="7">
        <v>36</v>
      </c>
      <c r="N245" s="2">
        <f t="shared" si="3"/>
        <v>42555</v>
      </c>
      <c r="O245" s="6">
        <v>4.8777099399999999</v>
      </c>
      <c r="P245" s="5">
        <v>4.0443439171997797</v>
      </c>
      <c r="Q245" s="5">
        <v>5.02884675604012</v>
      </c>
      <c r="R245" s="5">
        <v>2.3610804198947899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76A6-8DEC-4B63-BB25-4F956DEFA446}">
  <dimension ref="A1:B5"/>
  <sheetViews>
    <sheetView workbookViewId="0">
      <selection activeCell="C3" sqref="C3"/>
    </sheetView>
  </sheetViews>
  <sheetFormatPr defaultRowHeight="13.9" x14ac:dyDescent="0.4"/>
  <cols>
    <col min="2" max="2" width="9.53125" bestFit="1" customWidth="1"/>
  </cols>
  <sheetData>
    <row r="1" spans="1:2" x14ac:dyDescent="0.4">
      <c r="A1" t="s">
        <v>15</v>
      </c>
      <c r="B1" s="1">
        <v>40624</v>
      </c>
    </row>
    <row r="2" spans="1:2" x14ac:dyDescent="0.4">
      <c r="A2" t="s">
        <v>16</v>
      </c>
      <c r="B2" s="1">
        <v>40777</v>
      </c>
    </row>
    <row r="4" spans="1:2" x14ac:dyDescent="0.4">
      <c r="A4" t="s">
        <v>13</v>
      </c>
      <c r="B4" s="1">
        <v>40641</v>
      </c>
    </row>
    <row r="5" spans="1:2" x14ac:dyDescent="0.4">
      <c r="A5" t="s">
        <v>14</v>
      </c>
      <c r="B5" s="1">
        <v>40659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梓萌 李</cp:lastModifiedBy>
  <dcterms:created xsi:type="dcterms:W3CDTF">2015-06-05T18:19:34Z</dcterms:created>
  <dcterms:modified xsi:type="dcterms:W3CDTF">2026-04-08T11:51:34Z</dcterms:modified>
</cp:coreProperties>
</file>